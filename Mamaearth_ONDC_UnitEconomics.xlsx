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Product_Data" sheetId="2" state="visible" r:id="rId2"/>
    <sheet name="Unit_Economics" sheetId="3" state="visible" r:id="rId3"/>
    <sheet name="Scenario_Analysis" sheetId="4" state="visible" r:id="rId4"/>
    <sheet name="Break_Even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0" fontId="0" fillId="0" borderId="0" pivotButton="0" quotePrefix="0" xfId="0"/>
    <xf numFmtId="10" fontId="1" fillId="2" borderId="0" applyAlignment="1" pivotButton="0" quotePrefix="0" xfId="0">
      <alignment horizont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Profit per Unit: Amazon vs ONDC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'Dashboard'!N1</f>
            </strRef>
          </tx>
          <spPr>
            <a:ln>
              <a:prstDash val="solid"/>
            </a:ln>
          </spPr>
          <cat>
            <numRef>
              <f>'Dashboard'!$A$2:$A$11</f>
            </numRef>
          </cat>
          <val>
            <numRef>
              <f>'Dashboard'!$N$2:$N$11</f>
            </numRef>
          </val>
        </ser>
        <ser>
          <idx val="1"/>
          <order val="1"/>
          <tx>
            <strRef>
              <f>'Dashboard'!O1</f>
            </strRef>
          </tx>
          <spPr>
            <a:ln>
              <a:prstDash val="solid"/>
            </a:ln>
          </spPr>
          <cat>
            <numRef>
              <f>'Dashboard'!$A$2:$A$11</f>
            </numRef>
          </cat>
          <val>
            <numRef>
              <f>'Dashboard'!$O$2:$O$11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Profit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50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Amazon_Commission_pct</t>
        </is>
      </c>
      <c r="B2" s="2" t="n">
        <v>0.18</v>
      </c>
      <c r="C2" t="inlineStr">
        <is>
          <t>Amazon marketplace commission rate (decimal)</t>
        </is>
      </c>
    </row>
    <row r="3">
      <c r="A3" t="inlineStr">
        <is>
          <t>ONDC_Commission_pct</t>
        </is>
      </c>
      <c r="B3" s="2" t="n">
        <v>0.06</v>
      </c>
      <c r="C3" t="inlineStr">
        <is>
          <t>ONDC network commission rate (decimal)</t>
        </is>
      </c>
    </row>
    <row r="4">
      <c r="A4" t="inlineStr">
        <is>
          <t>Payment_Fee_pct</t>
        </is>
      </c>
      <c r="B4" s="2" t="n">
        <v>0.02</v>
      </c>
      <c r="C4" t="inlineStr">
        <is>
          <t>Payment gateway fee rate (decimal)</t>
        </is>
      </c>
    </row>
    <row r="5">
      <c r="A5" t="inlineStr">
        <is>
          <t>Packaging_per_unit</t>
        </is>
      </c>
      <c r="B5" s="3" t="n">
        <v>12</v>
      </c>
      <c r="C5" t="inlineStr">
        <is>
          <t>Packaging cost per unit (INR)</t>
        </is>
      </c>
    </row>
    <row r="6">
      <c r="A6" t="inlineStr">
        <is>
          <t>Other_Fees_per_unit</t>
        </is>
      </c>
      <c r="B6" s="3" t="n">
        <v>5</v>
      </c>
      <c r="C6" t="inlineStr">
        <is>
          <t>Other fees per unit (INR)</t>
        </is>
      </c>
    </row>
    <row r="7">
      <c r="A7" t="inlineStr">
        <is>
          <t>CAC_Amazon_per_unit</t>
        </is>
      </c>
      <c r="B7" s="3" t="n">
        <v>90</v>
      </c>
      <c r="C7" t="inlineStr">
        <is>
          <t>Customer Acquisition Cost per unit - Amazon (INR)</t>
        </is>
      </c>
    </row>
    <row r="8">
      <c r="A8" t="inlineStr">
        <is>
          <t>CAC_ONDC_per_unit</t>
        </is>
      </c>
      <c r="B8" s="3" t="n">
        <v>100</v>
      </c>
      <c r="C8" t="inlineStr">
        <is>
          <t>Customer Acquisition Cost per unit - ONDC (INR)</t>
        </is>
      </c>
    </row>
    <row r="9">
      <c r="A9" t="inlineStr">
        <is>
          <t>Default_Fixed_Costs_monthly</t>
        </is>
      </c>
      <c r="B9" s="3" t="n">
        <v>50000</v>
      </c>
      <c r="C9" t="inlineStr">
        <is>
          <t>Monthly fixed costs (INR)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Product_Name</t>
        </is>
      </c>
      <c r="B1" s="1" t="inlineStr">
        <is>
          <t>Size</t>
        </is>
      </c>
      <c r="C1" s="1" t="inlineStr">
        <is>
          <t>Selling_Price</t>
        </is>
      </c>
      <c r="D1" s="1" t="inlineStr">
        <is>
          <t>Estimated_Weight_g</t>
        </is>
      </c>
      <c r="E1" s="1" t="inlineStr">
        <is>
          <t>Monthly_Sales_Units</t>
        </is>
      </c>
      <c r="F1" s="1" t="inlineStr">
        <is>
          <t>Cost_of_Goods_est</t>
        </is>
      </c>
      <c r="G1" s="1" t="inlineStr">
        <is>
          <t>Logistics_Cost</t>
        </is>
      </c>
    </row>
    <row r="2">
      <c r="A2" t="inlineStr">
        <is>
          <t>Mamaearth Onion Hair Oil for Hair Growth &amp; Hair Fall Control</t>
        </is>
      </c>
      <c r="B2" t="inlineStr">
        <is>
          <t>100ml</t>
        </is>
      </c>
      <c r="C2" s="3" t="n">
        <v>399</v>
      </c>
      <c r="D2" s="3" t="n">
        <v>100</v>
      </c>
      <c r="E2" s="3" t="n">
        <v>15000</v>
      </c>
      <c r="F2" s="2" t="n">
        <v>119.7</v>
      </c>
      <c r="G2" s="2" t="n">
        <v>15</v>
      </c>
    </row>
    <row r="3">
      <c r="A3" t="inlineStr">
        <is>
          <t>Mamaearth Vitamin C Face Wash with Vitamin C &amp; Turmeric</t>
        </is>
      </c>
      <c r="B3" t="inlineStr">
        <is>
          <t>100ml</t>
        </is>
      </c>
      <c r="C3" s="3" t="n">
        <v>199</v>
      </c>
      <c r="D3" s="3" t="n">
        <v>100</v>
      </c>
      <c r="E3" s="3" t="n">
        <v>25000</v>
      </c>
      <c r="F3" s="2" t="n">
        <v>59.7</v>
      </c>
      <c r="G3" s="2" t="n">
        <v>15</v>
      </c>
    </row>
    <row r="4">
      <c r="A4" t="inlineStr">
        <is>
          <t>Mamaearth Ubtan Face Wash with Turmeric &amp; Saffron</t>
        </is>
      </c>
      <c r="B4" t="inlineStr">
        <is>
          <t>100ml</t>
        </is>
      </c>
      <c r="C4" s="3" t="n">
        <v>199</v>
      </c>
      <c r="D4" s="3" t="n">
        <v>100</v>
      </c>
      <c r="E4" s="3" t="n">
        <v>22000</v>
      </c>
      <c r="F4" s="2" t="n">
        <v>59.7</v>
      </c>
      <c r="G4" s="2" t="n">
        <v>15</v>
      </c>
    </row>
    <row r="5">
      <c r="A5" t="inlineStr">
        <is>
          <t>Mamaearth Rice Face Scrub for Tan Removal</t>
        </is>
      </c>
      <c r="B5" t="inlineStr">
        <is>
          <t>100g</t>
        </is>
      </c>
      <c r="C5" s="3" t="n">
        <v>299</v>
      </c>
      <c r="D5" s="3" t="n">
        <v>100</v>
      </c>
      <c r="E5" s="3" t="n">
        <v>12000</v>
      </c>
      <c r="F5" s="2" t="n">
        <v>89.7</v>
      </c>
      <c r="G5" s="2" t="n">
        <v>15</v>
      </c>
    </row>
    <row r="6">
      <c r="A6" t="inlineStr">
        <is>
          <t>Mamaearth Vitamin C Face Cream with Vitamin C &amp; SPF 30</t>
        </is>
      </c>
      <c r="B6" t="inlineStr">
        <is>
          <t>50g</t>
        </is>
      </c>
      <c r="C6" s="3" t="n">
        <v>449</v>
      </c>
      <c r="D6" s="3" t="n">
        <v>50</v>
      </c>
      <c r="E6" s="3" t="n">
        <v>18000</v>
      </c>
      <c r="F6" s="2" t="n">
        <v>134.7</v>
      </c>
      <c r="G6" s="2" t="n">
        <v>15</v>
      </c>
    </row>
    <row r="7">
      <c r="A7" t="inlineStr">
        <is>
          <t>Mamaearth Onion Shampoo for Hair Growth &amp; Hair Fall Control</t>
        </is>
      </c>
      <c r="B7" t="inlineStr">
        <is>
          <t>250ml</t>
        </is>
      </c>
      <c r="C7" s="3" t="n">
        <v>349</v>
      </c>
      <c r="D7" s="3" t="n">
        <v>250</v>
      </c>
      <c r="E7" s="3" t="n">
        <v>20000</v>
      </c>
      <c r="F7" s="2" t="n">
        <v>104.7</v>
      </c>
      <c r="G7" s="2" t="n">
        <v>15</v>
      </c>
    </row>
    <row r="8">
      <c r="A8" t="inlineStr">
        <is>
          <t>Mamaearth Ubtan Face Cream with Turmeric &amp; Saffron</t>
        </is>
      </c>
      <c r="B8" t="inlineStr">
        <is>
          <t>50g</t>
        </is>
      </c>
      <c r="C8" s="3" t="n">
        <v>449</v>
      </c>
      <c r="D8" s="3" t="n">
        <v>50</v>
      </c>
      <c r="E8" s="3" t="n">
        <v>16000</v>
      </c>
      <c r="F8" s="2" t="n">
        <v>134.7</v>
      </c>
      <c r="G8" s="2" t="n">
        <v>15</v>
      </c>
    </row>
    <row r="9">
      <c r="A9" t="inlineStr">
        <is>
          <t>Mamaearth Tea Tree Face Wash for Acne &amp; Pimples</t>
        </is>
      </c>
      <c r="B9" t="inlineStr">
        <is>
          <t>100ml</t>
        </is>
      </c>
      <c r="C9" s="3" t="n">
        <v>199</v>
      </c>
      <c r="D9" s="3" t="n">
        <v>100</v>
      </c>
      <c r="E9" s="3" t="n">
        <v>19000</v>
      </c>
      <c r="F9" s="2" t="n">
        <v>59.7</v>
      </c>
      <c r="G9" s="2" t="n">
        <v>15</v>
      </c>
    </row>
    <row r="10">
      <c r="A10" t="inlineStr">
        <is>
          <t>Mamaearth Aloe Vera Face Wash for Hydration</t>
        </is>
      </c>
      <c r="B10" t="inlineStr">
        <is>
          <t>100ml</t>
        </is>
      </c>
      <c r="C10" s="3" t="n">
        <v>199</v>
      </c>
      <c r="D10" s="3" t="n">
        <v>100</v>
      </c>
      <c r="E10" s="3" t="n">
        <v>17000</v>
      </c>
      <c r="F10" s="2" t="n">
        <v>59.7</v>
      </c>
      <c r="G10" s="2" t="n">
        <v>15</v>
      </c>
    </row>
    <row r="11">
      <c r="A11" t="inlineStr">
        <is>
          <t>Mamaearth Vitamin C Face Serum with Vitamin C &amp; Turmeric</t>
        </is>
      </c>
      <c r="B11" t="inlineStr">
        <is>
          <t>30ml</t>
        </is>
      </c>
      <c r="C11" s="3" t="n">
        <v>599</v>
      </c>
      <c r="D11" s="3" t="n">
        <v>30</v>
      </c>
      <c r="E11" s="3" t="n">
        <v>14000</v>
      </c>
      <c r="F11" s="2" t="n">
        <v>179.7</v>
      </c>
      <c r="G11" s="2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4" t="inlineStr">
        <is>
          <t>Product_Name</t>
        </is>
      </c>
      <c r="B1" s="4" t="inlineStr">
        <is>
          <t>Selling_Price</t>
        </is>
      </c>
      <c r="C1" s="4" t="inlineStr">
        <is>
          <t>Cost_of_Goods</t>
        </is>
      </c>
      <c r="D1" s="4" t="inlineStr">
        <is>
          <t>Amazon_Commission_amt</t>
        </is>
      </c>
      <c r="E1" s="4" t="inlineStr">
        <is>
          <t>ONDC_Commission_amt</t>
        </is>
      </c>
      <c r="F1" s="4" t="inlineStr">
        <is>
          <t>Payment_Gateway_Fee</t>
        </is>
      </c>
      <c r="G1" s="4" t="inlineStr">
        <is>
          <t>Logistics_Cost</t>
        </is>
      </c>
      <c r="H1" s="4" t="inlineStr">
        <is>
          <t>Packaging_Cost</t>
        </is>
      </c>
      <c r="I1" s="4" t="inlineStr">
        <is>
          <t>Other_Fees</t>
        </is>
      </c>
      <c r="J1" s="4" t="inlineStr">
        <is>
          <t>CAC_Amazon</t>
        </is>
      </c>
      <c r="K1" s="4" t="inlineStr">
        <is>
          <t>CAC_ONDC</t>
        </is>
      </c>
      <c r="L1" s="4" t="inlineStr">
        <is>
          <t>Total_Cost_Amazon</t>
        </is>
      </c>
      <c r="M1" s="4" t="inlineStr">
        <is>
          <t>Total_Cost_ONDC</t>
        </is>
      </c>
      <c r="N1" s="4" t="inlineStr">
        <is>
          <t>Profit_per_unit_Amazon</t>
        </is>
      </c>
      <c r="O1" s="4" t="inlineStr">
        <is>
          <t>Profit_per_unit_ONDC</t>
        </is>
      </c>
      <c r="P1" s="4" t="inlineStr">
        <is>
          <t>Profit_Change_pct</t>
        </is>
      </c>
      <c r="Q1" s="4" t="inlineStr">
        <is>
          <t>Monthly_Profit_Amazon</t>
        </is>
      </c>
      <c r="R1" s="4" t="inlineStr">
        <is>
          <t>Monthly_Profit_ONDC</t>
        </is>
      </c>
    </row>
    <row r="2">
      <c r="A2" t="inlineStr">
        <is>
          <t>Mamaearth Onion Hair Oil for Hair Growth &amp; Hair Fall Control</t>
        </is>
      </c>
      <c r="B2" s="2">
        <f>Product_Data!C2</f>
        <v/>
      </c>
      <c r="C2" s="2">
        <f>Product_Data!F2</f>
        <v/>
      </c>
      <c r="D2" s="2">
        <f>B2*Parameters!B2</f>
        <v/>
      </c>
      <c r="E2" s="2">
        <f>B2*Parameters!B3</f>
        <v/>
      </c>
      <c r="F2" s="2">
        <f>B2*Parameters!B4</f>
        <v/>
      </c>
      <c r="G2" s="2">
        <f>Product_Data!G2</f>
        <v/>
      </c>
      <c r="H2" s="2">
        <f>Parameters!B5</f>
        <v/>
      </c>
      <c r="I2" s="2">
        <f>Parameters!B6</f>
        <v/>
      </c>
      <c r="J2" s="2">
        <f>Parameters!B7</f>
        <v/>
      </c>
      <c r="K2" s="2">
        <f>Parameters!B8</f>
        <v/>
      </c>
      <c r="L2" s="2">
        <f>C2+D2+F2+G2+H2+I2+J2</f>
        <v/>
      </c>
      <c r="M2" s="2">
        <f>C2+E2+F2+G2+H2+I2+K2</f>
        <v/>
      </c>
      <c r="N2" s="2">
        <f>B2-L2</f>
        <v/>
      </c>
      <c r="O2" s="2">
        <f>B2-M2</f>
        <v/>
      </c>
      <c r="P2" s="2">
        <f>(O2-N2)/ABS(N2)*100</f>
        <v/>
      </c>
      <c r="Q2" s="2">
        <f>N2*Product_Data!E2</f>
        <v/>
      </c>
      <c r="R2" s="2">
        <f>O2*Product_Data!E2</f>
        <v/>
      </c>
    </row>
    <row r="3">
      <c r="A3" t="inlineStr">
        <is>
          <t>Mamaearth Vitamin C Face Wash with Vitamin C &amp; Turmeric</t>
        </is>
      </c>
      <c r="B3" s="2">
        <f>Product_Data!C3</f>
        <v/>
      </c>
      <c r="C3" s="2">
        <f>Product_Data!F3</f>
        <v/>
      </c>
      <c r="D3" s="2">
        <f>B3*Parameters!B2</f>
        <v/>
      </c>
      <c r="E3" s="2">
        <f>B3*Parameters!B3</f>
        <v/>
      </c>
      <c r="F3" s="2">
        <f>B3*Parameters!B4</f>
        <v/>
      </c>
      <c r="G3" s="2">
        <f>Product_Data!G3</f>
        <v/>
      </c>
      <c r="H3" s="2">
        <f>Parameters!B5</f>
        <v/>
      </c>
      <c r="I3" s="2">
        <f>Parameters!B6</f>
        <v/>
      </c>
      <c r="J3" s="2">
        <f>Parameters!B7</f>
        <v/>
      </c>
      <c r="K3" s="2">
        <f>Parameters!B8</f>
        <v/>
      </c>
      <c r="L3" s="2">
        <f>C3+D3+F3+G3+H3+I3+J3</f>
        <v/>
      </c>
      <c r="M3" s="2">
        <f>C3+E3+F3+G3+H3+I3+K3</f>
        <v/>
      </c>
      <c r="N3" s="2">
        <f>B3-L3</f>
        <v/>
      </c>
      <c r="O3" s="2">
        <f>B3-M3</f>
        <v/>
      </c>
      <c r="P3" s="2">
        <f>(O3-N3)/ABS(N3)*100</f>
        <v/>
      </c>
      <c r="Q3" s="2">
        <f>N3*Product_Data!E3</f>
        <v/>
      </c>
      <c r="R3" s="2">
        <f>O3*Product_Data!E3</f>
        <v/>
      </c>
    </row>
    <row r="4">
      <c r="A4" t="inlineStr">
        <is>
          <t>Mamaearth Ubtan Face Wash with Turmeric &amp; Saffron</t>
        </is>
      </c>
      <c r="B4" s="2">
        <f>Product_Data!C4</f>
        <v/>
      </c>
      <c r="C4" s="2">
        <f>Product_Data!F4</f>
        <v/>
      </c>
      <c r="D4" s="2">
        <f>B4*Parameters!B2</f>
        <v/>
      </c>
      <c r="E4" s="2">
        <f>B4*Parameters!B3</f>
        <v/>
      </c>
      <c r="F4" s="2">
        <f>B4*Parameters!B4</f>
        <v/>
      </c>
      <c r="G4" s="2">
        <f>Product_Data!G4</f>
        <v/>
      </c>
      <c r="H4" s="2">
        <f>Parameters!B5</f>
        <v/>
      </c>
      <c r="I4" s="2">
        <f>Parameters!B6</f>
        <v/>
      </c>
      <c r="J4" s="2">
        <f>Parameters!B7</f>
        <v/>
      </c>
      <c r="K4" s="2">
        <f>Parameters!B8</f>
        <v/>
      </c>
      <c r="L4" s="2">
        <f>C4+D4+F4+G4+H4+I4+J4</f>
        <v/>
      </c>
      <c r="M4" s="2">
        <f>C4+E4+F4+G4+H4+I4+K4</f>
        <v/>
      </c>
      <c r="N4" s="2">
        <f>B4-L4</f>
        <v/>
      </c>
      <c r="O4" s="2">
        <f>B4-M4</f>
        <v/>
      </c>
      <c r="P4" s="2">
        <f>(O4-N4)/ABS(N4)*100</f>
        <v/>
      </c>
      <c r="Q4" s="2">
        <f>N4*Product_Data!E4</f>
        <v/>
      </c>
      <c r="R4" s="2">
        <f>O4*Product_Data!E4</f>
        <v/>
      </c>
    </row>
    <row r="5">
      <c r="A5" t="inlineStr">
        <is>
          <t>Mamaearth Rice Face Scrub for Tan Removal</t>
        </is>
      </c>
      <c r="B5" s="2">
        <f>Product_Data!C5</f>
        <v/>
      </c>
      <c r="C5" s="2">
        <f>Product_Data!F5</f>
        <v/>
      </c>
      <c r="D5" s="2">
        <f>B5*Parameters!B2</f>
        <v/>
      </c>
      <c r="E5" s="2">
        <f>B5*Parameters!B3</f>
        <v/>
      </c>
      <c r="F5" s="2">
        <f>B5*Parameters!B4</f>
        <v/>
      </c>
      <c r="G5" s="2">
        <f>Product_Data!G5</f>
        <v/>
      </c>
      <c r="H5" s="2">
        <f>Parameters!B5</f>
        <v/>
      </c>
      <c r="I5" s="2">
        <f>Parameters!B6</f>
        <v/>
      </c>
      <c r="J5" s="2">
        <f>Parameters!B7</f>
        <v/>
      </c>
      <c r="K5" s="2">
        <f>Parameters!B8</f>
        <v/>
      </c>
      <c r="L5" s="2">
        <f>C5+D5+F5+G5+H5+I5+J5</f>
        <v/>
      </c>
      <c r="M5" s="2">
        <f>C5+E5+F5+G5+H5+I5+K5</f>
        <v/>
      </c>
      <c r="N5" s="2">
        <f>B5-L5</f>
        <v/>
      </c>
      <c r="O5" s="2">
        <f>B5-M5</f>
        <v/>
      </c>
      <c r="P5" s="2">
        <f>(O5-N5)/ABS(N5)*100</f>
        <v/>
      </c>
      <c r="Q5" s="2">
        <f>N5*Product_Data!E5</f>
        <v/>
      </c>
      <c r="R5" s="2">
        <f>O5*Product_Data!E5</f>
        <v/>
      </c>
    </row>
    <row r="6">
      <c r="A6" t="inlineStr">
        <is>
          <t>Mamaearth Vitamin C Face Cream with Vitamin C &amp; SPF 30</t>
        </is>
      </c>
      <c r="B6" s="2">
        <f>Product_Data!C6</f>
        <v/>
      </c>
      <c r="C6" s="2">
        <f>Product_Data!F6</f>
        <v/>
      </c>
      <c r="D6" s="2">
        <f>B6*Parameters!B2</f>
        <v/>
      </c>
      <c r="E6" s="2">
        <f>B6*Parameters!B3</f>
        <v/>
      </c>
      <c r="F6" s="2">
        <f>B6*Parameters!B4</f>
        <v/>
      </c>
      <c r="G6" s="2">
        <f>Product_Data!G6</f>
        <v/>
      </c>
      <c r="H6" s="2">
        <f>Parameters!B5</f>
        <v/>
      </c>
      <c r="I6" s="2">
        <f>Parameters!B6</f>
        <v/>
      </c>
      <c r="J6" s="2">
        <f>Parameters!B7</f>
        <v/>
      </c>
      <c r="K6" s="2">
        <f>Parameters!B8</f>
        <v/>
      </c>
      <c r="L6" s="2">
        <f>C6+D6+F6+G6+H6+I6+J6</f>
        <v/>
      </c>
      <c r="M6" s="2">
        <f>C6+E6+F6+G6+H6+I6+K6</f>
        <v/>
      </c>
      <c r="N6" s="2">
        <f>B6-L6</f>
        <v/>
      </c>
      <c r="O6" s="2">
        <f>B6-M6</f>
        <v/>
      </c>
      <c r="P6" s="2">
        <f>(O6-N6)/ABS(N6)*100</f>
        <v/>
      </c>
      <c r="Q6" s="2">
        <f>N6*Product_Data!E6</f>
        <v/>
      </c>
      <c r="R6" s="2">
        <f>O6*Product_Data!E6</f>
        <v/>
      </c>
    </row>
    <row r="7">
      <c r="A7" t="inlineStr">
        <is>
          <t>Mamaearth Onion Shampoo for Hair Growth &amp; Hair Fall Control</t>
        </is>
      </c>
      <c r="B7" s="2">
        <f>Product_Data!C7</f>
        <v/>
      </c>
      <c r="C7" s="2">
        <f>Product_Data!F7</f>
        <v/>
      </c>
      <c r="D7" s="2">
        <f>B7*Parameters!B2</f>
        <v/>
      </c>
      <c r="E7" s="2">
        <f>B7*Parameters!B3</f>
        <v/>
      </c>
      <c r="F7" s="2">
        <f>B7*Parameters!B4</f>
        <v/>
      </c>
      <c r="G7" s="2">
        <f>Product_Data!G7</f>
        <v/>
      </c>
      <c r="H7" s="2">
        <f>Parameters!B5</f>
        <v/>
      </c>
      <c r="I7" s="2">
        <f>Parameters!B6</f>
        <v/>
      </c>
      <c r="J7" s="2">
        <f>Parameters!B7</f>
        <v/>
      </c>
      <c r="K7" s="2">
        <f>Parameters!B8</f>
        <v/>
      </c>
      <c r="L7" s="2">
        <f>C7+D7+F7+G7+H7+I7+J7</f>
        <v/>
      </c>
      <c r="M7" s="2">
        <f>C7+E7+F7+G7+H7+I7+K7</f>
        <v/>
      </c>
      <c r="N7" s="2">
        <f>B7-L7</f>
        <v/>
      </c>
      <c r="O7" s="2">
        <f>B7-M7</f>
        <v/>
      </c>
      <c r="P7" s="2">
        <f>(O7-N7)/ABS(N7)*100</f>
        <v/>
      </c>
      <c r="Q7" s="2">
        <f>N7*Product_Data!E7</f>
        <v/>
      </c>
      <c r="R7" s="2">
        <f>O7*Product_Data!E7</f>
        <v/>
      </c>
    </row>
    <row r="8">
      <c r="A8" t="inlineStr">
        <is>
          <t>Mamaearth Ubtan Face Cream with Turmeric &amp; Saffron</t>
        </is>
      </c>
      <c r="B8" s="2">
        <f>Product_Data!C8</f>
        <v/>
      </c>
      <c r="C8" s="2">
        <f>Product_Data!F8</f>
        <v/>
      </c>
      <c r="D8" s="2">
        <f>B8*Parameters!B2</f>
        <v/>
      </c>
      <c r="E8" s="2">
        <f>B8*Parameters!B3</f>
        <v/>
      </c>
      <c r="F8" s="2">
        <f>B8*Parameters!B4</f>
        <v/>
      </c>
      <c r="G8" s="2">
        <f>Product_Data!G8</f>
        <v/>
      </c>
      <c r="H8" s="2">
        <f>Parameters!B5</f>
        <v/>
      </c>
      <c r="I8" s="2">
        <f>Parameters!B6</f>
        <v/>
      </c>
      <c r="J8" s="2">
        <f>Parameters!B7</f>
        <v/>
      </c>
      <c r="K8" s="2">
        <f>Parameters!B8</f>
        <v/>
      </c>
      <c r="L8" s="2">
        <f>C8+D8+F8+G8+H8+I8+J8</f>
        <v/>
      </c>
      <c r="M8" s="2">
        <f>C8+E8+F8+G8+H8+I8+K8</f>
        <v/>
      </c>
      <c r="N8" s="2">
        <f>B8-L8</f>
        <v/>
      </c>
      <c r="O8" s="2">
        <f>B8-M8</f>
        <v/>
      </c>
      <c r="P8" s="2">
        <f>(O8-N8)/ABS(N8)*100</f>
        <v/>
      </c>
      <c r="Q8" s="2">
        <f>N8*Product_Data!E8</f>
        <v/>
      </c>
      <c r="R8" s="2">
        <f>O8*Product_Data!E8</f>
        <v/>
      </c>
    </row>
    <row r="9">
      <c r="A9" t="inlineStr">
        <is>
          <t>Mamaearth Tea Tree Face Wash for Acne &amp; Pimples</t>
        </is>
      </c>
      <c r="B9" s="2">
        <f>Product_Data!C9</f>
        <v/>
      </c>
      <c r="C9" s="2">
        <f>Product_Data!F9</f>
        <v/>
      </c>
      <c r="D9" s="2">
        <f>B9*Parameters!B2</f>
        <v/>
      </c>
      <c r="E9" s="2">
        <f>B9*Parameters!B3</f>
        <v/>
      </c>
      <c r="F9" s="2">
        <f>B9*Parameters!B4</f>
        <v/>
      </c>
      <c r="G9" s="2">
        <f>Product_Data!G9</f>
        <v/>
      </c>
      <c r="H9" s="2">
        <f>Parameters!B5</f>
        <v/>
      </c>
      <c r="I9" s="2">
        <f>Parameters!B6</f>
        <v/>
      </c>
      <c r="J9" s="2">
        <f>Parameters!B7</f>
        <v/>
      </c>
      <c r="K9" s="2">
        <f>Parameters!B8</f>
        <v/>
      </c>
      <c r="L9" s="2">
        <f>C9+D9+F9+G9+H9+I9+J9</f>
        <v/>
      </c>
      <c r="M9" s="2">
        <f>C9+E9+F9+G9+H9+I9+K9</f>
        <v/>
      </c>
      <c r="N9" s="2">
        <f>B9-L9</f>
        <v/>
      </c>
      <c r="O9" s="2">
        <f>B9-M9</f>
        <v/>
      </c>
      <c r="P9" s="2">
        <f>(O9-N9)/ABS(N9)*100</f>
        <v/>
      </c>
      <c r="Q9" s="2">
        <f>N9*Product_Data!E9</f>
        <v/>
      </c>
      <c r="R9" s="2">
        <f>O9*Product_Data!E9</f>
        <v/>
      </c>
    </row>
    <row r="10">
      <c r="A10" t="inlineStr">
        <is>
          <t>Mamaearth Aloe Vera Face Wash for Hydration</t>
        </is>
      </c>
      <c r="B10" s="2">
        <f>Product_Data!C10</f>
        <v/>
      </c>
      <c r="C10" s="2">
        <f>Product_Data!F10</f>
        <v/>
      </c>
      <c r="D10" s="2">
        <f>B10*Parameters!B2</f>
        <v/>
      </c>
      <c r="E10" s="2">
        <f>B10*Parameters!B3</f>
        <v/>
      </c>
      <c r="F10" s="2">
        <f>B10*Parameters!B4</f>
        <v/>
      </c>
      <c r="G10" s="2">
        <f>Product_Data!G10</f>
        <v/>
      </c>
      <c r="H10" s="2">
        <f>Parameters!B5</f>
        <v/>
      </c>
      <c r="I10" s="2">
        <f>Parameters!B6</f>
        <v/>
      </c>
      <c r="J10" s="2">
        <f>Parameters!B7</f>
        <v/>
      </c>
      <c r="K10" s="2">
        <f>Parameters!B8</f>
        <v/>
      </c>
      <c r="L10" s="2">
        <f>C10+D10+F10+G10+H10+I10+J10</f>
        <v/>
      </c>
      <c r="M10" s="2">
        <f>C10+E10+F10+G10+H10+I10+K10</f>
        <v/>
      </c>
      <c r="N10" s="2">
        <f>B10-L10</f>
        <v/>
      </c>
      <c r="O10" s="2">
        <f>B10-M10</f>
        <v/>
      </c>
      <c r="P10" s="2">
        <f>(O10-N10)/ABS(N10)*100</f>
        <v/>
      </c>
      <c r="Q10" s="2">
        <f>N10*Product_Data!E10</f>
        <v/>
      </c>
      <c r="R10" s="2">
        <f>O10*Product_Data!E10</f>
        <v/>
      </c>
    </row>
    <row r="11">
      <c r="A11" t="inlineStr">
        <is>
          <t>Mamaearth Vitamin C Face Serum with Vitamin C &amp; Turmeric</t>
        </is>
      </c>
      <c r="B11" s="2">
        <f>Product_Data!C11</f>
        <v/>
      </c>
      <c r="C11" s="2">
        <f>Product_Data!F11</f>
        <v/>
      </c>
      <c r="D11" s="2">
        <f>B11*Parameters!B2</f>
        <v/>
      </c>
      <c r="E11" s="2">
        <f>B11*Parameters!B3</f>
        <v/>
      </c>
      <c r="F11" s="2">
        <f>B11*Parameters!B4</f>
        <v/>
      </c>
      <c r="G11" s="2">
        <f>Product_Data!G11</f>
        <v/>
      </c>
      <c r="H11" s="2">
        <f>Parameters!B5</f>
        <v/>
      </c>
      <c r="I11" s="2">
        <f>Parameters!B6</f>
        <v/>
      </c>
      <c r="J11" s="2">
        <f>Parameters!B7</f>
        <v/>
      </c>
      <c r="K11" s="2">
        <f>Parameters!B8</f>
        <v/>
      </c>
      <c r="L11" s="2">
        <f>C11+D11+F11+G11+H11+I11+J11</f>
        <v/>
      </c>
      <c r="M11" s="2">
        <f>C11+E11+F11+G11+H11+I11+K11</f>
        <v/>
      </c>
      <c r="N11" s="2">
        <f>B11-L11</f>
        <v/>
      </c>
      <c r="O11" s="2">
        <f>B11-M11</f>
        <v/>
      </c>
      <c r="P11" s="2">
        <f>(O11-N11)/ABS(N11)*100</f>
        <v/>
      </c>
      <c r="Q11" s="2">
        <f>N11*Product_Data!E11</f>
        <v/>
      </c>
      <c r="R11" s="2">
        <f>O11*Product_Data!E11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Scenario Parameter Changes (%):</t>
        </is>
      </c>
    </row>
    <row r="2">
      <c r="A2" t="inlineStr">
        <is>
          <t>CAC Amazon % Change</t>
        </is>
      </c>
      <c r="B2" s="6" t="n">
        <v>0</v>
      </c>
    </row>
    <row r="3">
      <c r="A3" t="inlineStr">
        <is>
          <t>CAC ONDC % Change</t>
        </is>
      </c>
      <c r="B3" s="6" t="n">
        <v>0</v>
      </c>
    </row>
    <row r="4">
      <c r="A4" t="inlineStr">
        <is>
          <t>Logistics % Change</t>
        </is>
      </c>
      <c r="B4" s="6" t="n">
        <v>0</v>
      </c>
    </row>
    <row r="5">
      <c r="A5" s="4" t="inlineStr">
        <is>
          <t>Product_Name</t>
        </is>
      </c>
      <c r="B5" s="7" t="inlineStr">
        <is>
          <t>Base_Profit_ONDC</t>
        </is>
      </c>
      <c r="C5" s="4" t="inlineStr">
        <is>
          <t>Adjusted_CAC_ONDC</t>
        </is>
      </c>
      <c r="D5" s="4" t="inlineStr">
        <is>
          <t>Adjusted_Logistics</t>
        </is>
      </c>
      <c r="E5" s="4" t="inlineStr">
        <is>
          <t>Adjusted_ONDC_Comm</t>
        </is>
      </c>
      <c r="F5" s="4" t="inlineStr">
        <is>
          <t>Adjusted_Total_Cost_ONDC</t>
        </is>
      </c>
      <c r="G5" s="4" t="inlineStr">
        <is>
          <t>Adjusted_Profit_ONDC</t>
        </is>
      </c>
      <c r="H5" s="4" t="inlineStr">
        <is>
          <t>Profit_Change_vs_Base</t>
        </is>
      </c>
    </row>
    <row r="6">
      <c r="A6" t="inlineStr">
        <is>
          <t>Mamaearth Onion Hair Oil for Hair Growth &amp; Hair Fall Control</t>
        </is>
      </c>
      <c r="B6" s="2">
        <f>Unit_Economics!O6</f>
        <v/>
      </c>
      <c r="C6" s="2">
        <f>Parameters!B8*(1+B4)</f>
        <v/>
      </c>
      <c r="D6" s="2">
        <f>Unit_Economics!G6*(1+B5)</f>
        <v/>
      </c>
      <c r="E6" s="2">
        <f>Unit_Economics!B6*Parameters!B3*(1+B6)</f>
        <v/>
      </c>
      <c r="F6" s="2">
        <f>Unit_Economics!C6+E6+Unit_Economics!F6+D6+C6+Parameters!B5+Parameters!B6</f>
        <v/>
      </c>
      <c r="G6" s="2">
        <f>Unit_Economics!B6-F6</f>
        <v/>
      </c>
      <c r="H6" s="2">
        <f>(G6-B6)/ABS(B6)*100</f>
        <v/>
      </c>
    </row>
    <row r="7">
      <c r="A7" t="inlineStr">
        <is>
          <t>Mamaearth Vitamin C Face Wash with Vitamin C &amp; Turmeric</t>
        </is>
      </c>
      <c r="B7" s="2">
        <f>Unit_Economics!O7</f>
        <v/>
      </c>
      <c r="C7" s="2">
        <f>Parameters!B8*(1+B4)</f>
        <v/>
      </c>
      <c r="D7" s="2">
        <f>Unit_Economics!G7*(1+B5)</f>
        <v/>
      </c>
      <c r="E7" s="2">
        <f>Unit_Economics!B7*Parameters!B3*(1+B6)</f>
        <v/>
      </c>
      <c r="F7" s="2">
        <f>Unit_Economics!C7+E7+Unit_Economics!F7+D7+C7+Parameters!B5+Parameters!B6</f>
        <v/>
      </c>
      <c r="G7" s="2">
        <f>Unit_Economics!B7-F7</f>
        <v/>
      </c>
      <c r="H7" s="2">
        <f>(G7-B7)/ABS(B7)*100</f>
        <v/>
      </c>
    </row>
    <row r="8">
      <c r="A8" t="inlineStr">
        <is>
          <t>Mamaearth Ubtan Face Wash with Turmeric &amp; Saffron</t>
        </is>
      </c>
      <c r="B8" s="2">
        <f>Unit_Economics!O8</f>
        <v/>
      </c>
      <c r="C8" s="2">
        <f>Parameters!B8*(1+B4)</f>
        <v/>
      </c>
      <c r="D8" s="2">
        <f>Unit_Economics!G8*(1+B5)</f>
        <v/>
      </c>
      <c r="E8" s="2">
        <f>Unit_Economics!B8*Parameters!B3*(1+B6)</f>
        <v/>
      </c>
      <c r="F8" s="2">
        <f>Unit_Economics!C8+E8+Unit_Economics!F8+D8+C8+Parameters!B5+Parameters!B6</f>
        <v/>
      </c>
      <c r="G8" s="2">
        <f>Unit_Economics!B8-F8</f>
        <v/>
      </c>
      <c r="H8" s="2">
        <f>(G8-B8)/ABS(B8)*100</f>
        <v/>
      </c>
    </row>
    <row r="9">
      <c r="A9" t="inlineStr">
        <is>
          <t>Mamaearth Rice Face Scrub for Tan Removal</t>
        </is>
      </c>
      <c r="B9" s="2">
        <f>Unit_Economics!O9</f>
        <v/>
      </c>
      <c r="C9" s="2">
        <f>Parameters!B8*(1+B4)</f>
        <v/>
      </c>
      <c r="D9" s="2">
        <f>Unit_Economics!G9*(1+B5)</f>
        <v/>
      </c>
      <c r="E9" s="2">
        <f>Unit_Economics!B9*Parameters!B3*(1+B6)</f>
        <v/>
      </c>
      <c r="F9" s="2">
        <f>Unit_Economics!C9+E9+Unit_Economics!F9+D9+C9+Parameters!B5+Parameters!B6</f>
        <v/>
      </c>
      <c r="G9" s="2">
        <f>Unit_Economics!B9-F9</f>
        <v/>
      </c>
      <c r="H9" s="2">
        <f>(G9-B9)/ABS(B9)*100</f>
        <v/>
      </c>
    </row>
    <row r="10">
      <c r="A10" t="inlineStr">
        <is>
          <t>Mamaearth Vitamin C Face Cream with Vitamin C &amp; SPF 30</t>
        </is>
      </c>
      <c r="B10" s="2">
        <f>Unit_Economics!O10</f>
        <v/>
      </c>
      <c r="C10" s="2">
        <f>Parameters!B8*(1+B4)</f>
        <v/>
      </c>
      <c r="D10" s="2">
        <f>Unit_Economics!G10*(1+B5)</f>
        <v/>
      </c>
      <c r="E10" s="2">
        <f>Unit_Economics!B10*Parameters!B3*(1+B6)</f>
        <v/>
      </c>
      <c r="F10" s="2">
        <f>Unit_Economics!C10+E10+Unit_Economics!F10+D10+C10+Parameters!B5+Parameters!B6</f>
        <v/>
      </c>
      <c r="G10" s="2">
        <f>Unit_Economics!B10-F10</f>
        <v/>
      </c>
      <c r="H10" s="2">
        <f>(G10-B10)/ABS(B10)*100</f>
        <v/>
      </c>
    </row>
    <row r="11">
      <c r="A11" t="inlineStr">
        <is>
          <t>Mamaearth Onion Shampoo for Hair Growth &amp; Hair Fall Control</t>
        </is>
      </c>
      <c r="B11" s="2">
        <f>Unit_Economics!O11</f>
        <v/>
      </c>
      <c r="C11" s="2">
        <f>Parameters!B8*(1+B4)</f>
        <v/>
      </c>
      <c r="D11" s="2">
        <f>Unit_Economics!G11*(1+B5)</f>
        <v/>
      </c>
      <c r="E11" s="2">
        <f>Unit_Economics!B11*Parameters!B3*(1+B6)</f>
        <v/>
      </c>
      <c r="F11" s="2">
        <f>Unit_Economics!C11+E11+Unit_Economics!F11+D11+C11+Parameters!B5+Parameters!B6</f>
        <v/>
      </c>
      <c r="G11" s="2">
        <f>Unit_Economics!B11-F11</f>
        <v/>
      </c>
      <c r="H11" s="2">
        <f>(G11-B11)/ABS(B11)*100</f>
        <v/>
      </c>
    </row>
    <row r="12">
      <c r="A12" t="inlineStr">
        <is>
          <t>Mamaearth Ubtan Face Cream with Turmeric &amp; Saffron</t>
        </is>
      </c>
      <c r="B12" s="2">
        <f>Unit_Economics!O12</f>
        <v/>
      </c>
      <c r="C12" s="2">
        <f>Parameters!B8*(1+B4)</f>
        <v/>
      </c>
      <c r="D12" s="2">
        <f>Unit_Economics!G12*(1+B5)</f>
        <v/>
      </c>
      <c r="E12" s="2">
        <f>Unit_Economics!B12*Parameters!B3*(1+B6)</f>
        <v/>
      </c>
      <c r="F12" s="2">
        <f>Unit_Economics!C12+E12+Unit_Economics!F12+D12+C12+Parameters!B5+Parameters!B6</f>
        <v/>
      </c>
      <c r="G12" s="2">
        <f>Unit_Economics!B12-F12</f>
        <v/>
      </c>
      <c r="H12" s="2">
        <f>(G12-B12)/ABS(B12)*100</f>
        <v/>
      </c>
    </row>
    <row r="13">
      <c r="A13" t="inlineStr">
        <is>
          <t>Mamaearth Tea Tree Face Wash for Acne &amp; Pimples</t>
        </is>
      </c>
      <c r="B13" s="2">
        <f>Unit_Economics!O13</f>
        <v/>
      </c>
      <c r="C13" s="2">
        <f>Parameters!B8*(1+B4)</f>
        <v/>
      </c>
      <c r="D13" s="2">
        <f>Unit_Economics!G13*(1+B5)</f>
        <v/>
      </c>
      <c r="E13" s="2">
        <f>Unit_Economics!B13*Parameters!B3*(1+B6)</f>
        <v/>
      </c>
      <c r="F13" s="2">
        <f>Unit_Economics!C13+E13+Unit_Economics!F13+D13+C13+Parameters!B5+Parameters!B6</f>
        <v/>
      </c>
      <c r="G13" s="2">
        <f>Unit_Economics!B13-F13</f>
        <v/>
      </c>
      <c r="H13" s="2">
        <f>(G13-B13)/ABS(B13)*100</f>
        <v/>
      </c>
    </row>
    <row r="14">
      <c r="A14" t="inlineStr">
        <is>
          <t>Mamaearth Aloe Vera Face Wash for Hydration</t>
        </is>
      </c>
      <c r="B14" s="2">
        <f>Unit_Economics!O14</f>
        <v/>
      </c>
      <c r="C14" s="2">
        <f>Parameters!B8*(1+B4)</f>
        <v/>
      </c>
      <c r="D14" s="2">
        <f>Unit_Economics!G14*(1+B5)</f>
        <v/>
      </c>
      <c r="E14" s="2">
        <f>Unit_Economics!B14*Parameters!B3*(1+B6)</f>
        <v/>
      </c>
      <c r="F14" s="2">
        <f>Unit_Economics!C14+E14+Unit_Economics!F14+D14+C14+Parameters!B5+Parameters!B6</f>
        <v/>
      </c>
      <c r="G14" s="2">
        <f>Unit_Economics!B14-F14</f>
        <v/>
      </c>
      <c r="H14" s="2">
        <f>(G14-B14)/ABS(B14)*100</f>
        <v/>
      </c>
    </row>
    <row r="15">
      <c r="A15" t="inlineStr">
        <is>
          <t>Mamaearth Vitamin C Face Serum with Vitamin C &amp; Turmeric</t>
        </is>
      </c>
      <c r="B15" s="2">
        <f>Unit_Economics!O15</f>
        <v/>
      </c>
      <c r="C15" s="2">
        <f>Parameters!B8*(1+B4)</f>
        <v/>
      </c>
      <c r="D15" s="2">
        <f>Unit_Economics!G15*(1+B5)</f>
        <v/>
      </c>
      <c r="E15" s="2">
        <f>Unit_Economics!B15*Parameters!B3*(1+B6)</f>
        <v/>
      </c>
      <c r="F15" s="2">
        <f>Unit_Economics!C15+E15+Unit_Economics!F15+D15+C15+Parameters!B5+Parameters!B6</f>
        <v/>
      </c>
      <c r="G15" s="2">
        <f>Unit_Economics!B15-F15</f>
        <v/>
      </c>
      <c r="H15" s="2">
        <f>(G15-B15)/ABS(B15)*100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Fixed Costs (Monthly):</t>
        </is>
      </c>
      <c r="B1" s="3">
        <f>Parameters!B9</f>
        <v/>
      </c>
    </row>
    <row r="3">
      <c r="A3" s="4" t="inlineStr">
        <is>
          <t>Product_Name</t>
        </is>
      </c>
      <c r="B3" s="4" t="inlineStr">
        <is>
          <t>Selling_Price</t>
        </is>
      </c>
      <c r="C3" s="4" t="inlineStr">
        <is>
          <t>Total_Variable_Cost_ONDC</t>
        </is>
      </c>
      <c r="D3" s="4" t="inlineStr">
        <is>
          <t>Contribution_per_unit_ONDC</t>
        </is>
      </c>
      <c r="E3" s="4" t="inlineStr">
        <is>
          <t>Break_even_units</t>
        </is>
      </c>
      <c r="F3" s="4" t="inlineStr">
        <is>
          <t>Break_even_revenue</t>
        </is>
      </c>
    </row>
    <row r="4">
      <c r="A4" t="inlineStr">
        <is>
          <t>Mamaearth Onion Hair Oil for Hair Growth &amp; Hair Fall Control</t>
        </is>
      </c>
      <c r="B4" s="2">
        <f>Unit_Economics!B4</f>
        <v/>
      </c>
      <c r="C4" s="2">
        <f>Unit_Economics!M4</f>
        <v/>
      </c>
      <c r="D4" s="2">
        <f>B4-C4</f>
        <v/>
      </c>
      <c r="E4" s="2">
        <f>IF(D4&gt;0, B1/D4, 0)</f>
        <v/>
      </c>
      <c r="F4" s="2">
        <f>E4*B4</f>
        <v/>
      </c>
    </row>
    <row r="5">
      <c r="A5" t="inlineStr">
        <is>
          <t>Mamaearth Vitamin C Face Wash with Vitamin C &amp; Turmeric</t>
        </is>
      </c>
      <c r="B5" s="2">
        <f>Unit_Economics!B5</f>
        <v/>
      </c>
      <c r="C5" s="2">
        <f>Unit_Economics!M5</f>
        <v/>
      </c>
      <c r="D5" s="2">
        <f>B5-C5</f>
        <v/>
      </c>
      <c r="E5" s="2">
        <f>IF(D5&gt;0, B1/D5, 0)</f>
        <v/>
      </c>
      <c r="F5" s="2">
        <f>E5*B5</f>
        <v/>
      </c>
    </row>
    <row r="6">
      <c r="A6" t="inlineStr">
        <is>
          <t>Mamaearth Ubtan Face Wash with Turmeric &amp; Saffron</t>
        </is>
      </c>
      <c r="B6" s="2">
        <f>Unit_Economics!B6</f>
        <v/>
      </c>
      <c r="C6" s="2">
        <f>Unit_Economics!M6</f>
        <v/>
      </c>
      <c r="D6" s="2">
        <f>B6-C6</f>
        <v/>
      </c>
      <c r="E6" s="2">
        <f>IF(D6&gt;0, B1/D6, 0)</f>
        <v/>
      </c>
      <c r="F6" s="2">
        <f>E6*B6</f>
        <v/>
      </c>
    </row>
    <row r="7">
      <c r="A7" t="inlineStr">
        <is>
          <t>Mamaearth Rice Face Scrub for Tan Removal</t>
        </is>
      </c>
      <c r="B7" s="2">
        <f>Unit_Economics!B7</f>
        <v/>
      </c>
      <c r="C7" s="2">
        <f>Unit_Economics!M7</f>
        <v/>
      </c>
      <c r="D7" s="2">
        <f>B7-C7</f>
        <v/>
      </c>
      <c r="E7" s="2">
        <f>IF(D7&gt;0, B1/D7, 0)</f>
        <v/>
      </c>
      <c r="F7" s="2">
        <f>E7*B7</f>
        <v/>
      </c>
    </row>
    <row r="8">
      <c r="A8" t="inlineStr">
        <is>
          <t>Mamaearth Vitamin C Face Cream with Vitamin C &amp; SPF 30</t>
        </is>
      </c>
      <c r="B8" s="2">
        <f>Unit_Economics!B8</f>
        <v/>
      </c>
      <c r="C8" s="2">
        <f>Unit_Economics!M8</f>
        <v/>
      </c>
      <c r="D8" s="2">
        <f>B8-C8</f>
        <v/>
      </c>
      <c r="E8" s="2">
        <f>IF(D8&gt;0, B1/D8, 0)</f>
        <v/>
      </c>
      <c r="F8" s="2">
        <f>E8*B8</f>
        <v/>
      </c>
    </row>
    <row r="9">
      <c r="A9" t="inlineStr">
        <is>
          <t>Mamaearth Onion Shampoo for Hair Growth &amp; Hair Fall Control</t>
        </is>
      </c>
      <c r="B9" s="2">
        <f>Unit_Economics!B9</f>
        <v/>
      </c>
      <c r="C9" s="2">
        <f>Unit_Economics!M9</f>
        <v/>
      </c>
      <c r="D9" s="2">
        <f>B9-C9</f>
        <v/>
      </c>
      <c r="E9" s="2">
        <f>IF(D9&gt;0, B1/D9, 0)</f>
        <v/>
      </c>
      <c r="F9" s="2">
        <f>E9*B9</f>
        <v/>
      </c>
    </row>
    <row r="10">
      <c r="A10" t="inlineStr">
        <is>
          <t>Mamaearth Ubtan Face Cream with Turmeric &amp; Saffron</t>
        </is>
      </c>
      <c r="B10" s="2">
        <f>Unit_Economics!B10</f>
        <v/>
      </c>
      <c r="C10" s="2">
        <f>Unit_Economics!M10</f>
        <v/>
      </c>
      <c r="D10" s="2">
        <f>B10-C10</f>
        <v/>
      </c>
      <c r="E10" s="2">
        <f>IF(D10&gt;0, B1/D10, 0)</f>
        <v/>
      </c>
      <c r="F10" s="2">
        <f>E10*B10</f>
        <v/>
      </c>
    </row>
    <row r="11">
      <c r="A11" t="inlineStr">
        <is>
          <t>Mamaearth Tea Tree Face Wash for Acne &amp; Pimples</t>
        </is>
      </c>
      <c r="B11" s="2">
        <f>Unit_Economics!B11</f>
        <v/>
      </c>
      <c r="C11" s="2">
        <f>Unit_Economics!M11</f>
        <v/>
      </c>
      <c r="D11" s="2">
        <f>B11-C11</f>
        <v/>
      </c>
      <c r="E11" s="2">
        <f>IF(D11&gt;0, B1/D11, 0)</f>
        <v/>
      </c>
      <c r="F11" s="2">
        <f>E11*B11</f>
        <v/>
      </c>
    </row>
    <row r="12">
      <c r="A12" t="inlineStr">
        <is>
          <t>Mamaearth Aloe Vera Face Wash for Hydration</t>
        </is>
      </c>
      <c r="B12" s="2">
        <f>Unit_Economics!B12</f>
        <v/>
      </c>
      <c r="C12" s="2">
        <f>Unit_Economics!M12</f>
        <v/>
      </c>
      <c r="D12" s="2">
        <f>B12-C12</f>
        <v/>
      </c>
      <c r="E12" s="2">
        <f>IF(D12&gt;0, B1/D12, 0)</f>
        <v/>
      </c>
      <c r="F12" s="2">
        <f>E12*B12</f>
        <v/>
      </c>
    </row>
    <row r="13">
      <c r="A13" t="inlineStr">
        <is>
          <t>Mamaearth Vitamin C Face Serum with Vitamin C &amp; Turmeric</t>
        </is>
      </c>
      <c r="B13" s="2">
        <f>Unit_Economics!B13</f>
        <v/>
      </c>
      <c r="C13" s="2">
        <f>Unit_Economics!M13</f>
        <v/>
      </c>
      <c r="D13" s="2">
        <f>B13-C13</f>
        <v/>
      </c>
      <c r="E13" s="2">
        <f>IF(D13&gt;0, B1/D13, 0)</f>
        <v/>
      </c>
      <c r="F13" s="2">
        <f>E13*B13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9" t="inlineStr">
        <is>
          <t>ONDC vs Amazon Unit Economics Dashboard</t>
        </is>
      </c>
    </row>
    <row r="3">
      <c r="A3" s="5" t="inlineStr">
        <is>
          <t>Key Metrics</t>
        </is>
      </c>
    </row>
    <row r="4">
      <c r="A4" t="inlineStr">
        <is>
          <t>Average Profit per Unit (Amazon)</t>
        </is>
      </c>
      <c r="B4" s="2">
        <f>AVERAGE(Unit_Economics!N2:N11)</f>
        <v/>
      </c>
    </row>
    <row r="5">
      <c r="A5" t="inlineStr">
        <is>
          <t>Average Profit per Unit (ONDC)</t>
        </is>
      </c>
      <c r="B5" s="2">
        <f>AVERAGE(Unit_Economics!O2:O11)</f>
        <v/>
      </c>
    </row>
    <row r="6">
      <c r="A6" t="inlineStr">
        <is>
          <t>Average Profit Increase %</t>
        </is>
      </c>
      <c r="B6" s="2">
        <f>AVERAGE(Unit_Economics!P2:P11)</f>
        <v/>
      </c>
    </row>
    <row r="7">
      <c r="A7" t="inlineStr">
        <is>
          <t>Total Monthly Profit (Amazon)</t>
        </is>
      </c>
      <c r="B7" s="2">
        <f>SUM(Unit_Economics!Q2:Q11)</f>
        <v/>
      </c>
    </row>
    <row r="8">
      <c r="A8" t="inlineStr">
        <is>
          <t>Total Monthly Profit (ONDC)</t>
        </is>
      </c>
      <c r="B8" s="2">
        <f>SUM(Unit_Economics!R2:R11)</f>
        <v/>
      </c>
    </row>
    <row r="9">
      <c r="A9" t="inlineStr">
        <is>
          <t>Total Monthly Profit Increase</t>
        </is>
      </c>
      <c r="B9" s="2">
        <f>E7-E6</f>
        <v/>
      </c>
    </row>
    <row r="10">
      <c r="A10" t="inlineStr">
        <is>
          <t>Best Performing Product (ONDC)</t>
        </is>
      </c>
      <c r="B10" s="2">
        <f>INDEX(Unit_Economics!A2:A11,MATCH(MAX(Unit_Economics!O2:O11),Unit_Economics!O2:O11,0))</f>
        <v/>
      </c>
    </row>
    <row r="13">
      <c r="A13" s="5" t="inlineStr">
        <is>
          <t>Charts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2025-11-05T20:04:50Z</dcterms:created>
  <dcterms:modified xsi:type="dcterms:W3CDTF">2025-11-05T20:04:50Z</dcterms:modified>
</cp:coreProperties>
</file>