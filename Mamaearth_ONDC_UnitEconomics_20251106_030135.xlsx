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Unit: Amazon vs ONDC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'Dashboard'!$A$2:$A$42</f>
            </numRef>
          </cat>
          <val>
            <numRef>
              <f>'Dashboard'!$N$2:$N$42</f>
            </numRef>
          </val>
        </ser>
        <ser>
          <idx val="1"/>
          <order val="1"/>
          <tx>
            <strRef>
              <f>'Dashboard'!O1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'Dashboard'!$A$2:$A$42</f>
            </numRef>
          </cat>
          <val>
            <numRef>
              <f>'Dashboard'!$O$2:$O$42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Product_Name</t>
        </is>
      </c>
      <c r="B1" s="4" t="inlineStr">
        <is>
          <t>Category</t>
        </is>
      </c>
      <c r="C1" s="4" t="inlineStr">
        <is>
          <t>Size</t>
        </is>
      </c>
      <c r="D1" s="4" t="inlineStr">
        <is>
          <t>Selling_Price</t>
        </is>
      </c>
      <c r="E1" s="4" t="inlineStr">
        <is>
          <t>Estimated_Weight_g</t>
        </is>
      </c>
      <c r="F1" s="4" t="inlineStr">
        <is>
          <t>Monthly_Sales_Units</t>
        </is>
      </c>
      <c r="G1" s="4" t="inlineStr">
        <is>
          <t>Cost_of_Goods_est</t>
        </is>
      </c>
      <c r="H1" s="4" t="inlineStr">
        <is>
          <t>Logistics_Cost</t>
        </is>
      </c>
      <c r="I1" s="4" t="inlineStr">
        <is>
          <t>Data_Source</t>
        </is>
      </c>
    </row>
    <row r="2">
      <c r="A2" t="inlineStr">
        <is>
          <t>Mamaearth Onion Hair Oil</t>
        </is>
      </c>
      <c r="B2" t="inlineStr">
        <is>
          <t>Hair Care</t>
        </is>
      </c>
      <c r="C2" t="inlineStr">
        <is>
          <t>100ml</t>
        </is>
      </c>
      <c r="D2" s="3" t="n">
        <v>399</v>
      </c>
      <c r="E2" s="3" t="n">
        <v>100</v>
      </c>
      <c r="F2" s="3" t="n">
        <v>18000</v>
      </c>
      <c r="G2" s="2" t="n">
        <v>119.7</v>
      </c>
      <c r="H2" s="2" t="n">
        <v>15</v>
      </c>
      <c r="I2" t="inlineStr">
        <is>
          <t>Estimated</t>
        </is>
      </c>
    </row>
    <row r="3">
      <c r="A3" t="inlineStr">
        <is>
          <t>Mamaearth Onion Shampoo</t>
        </is>
      </c>
      <c r="B3" t="inlineStr">
        <is>
          <t>Hair Care</t>
        </is>
      </c>
      <c r="C3" t="inlineStr">
        <is>
          <t>250ml</t>
        </is>
      </c>
      <c r="D3" s="3" t="n">
        <v>177</v>
      </c>
      <c r="E3" s="3" t="n">
        <v>250</v>
      </c>
      <c r="F3" s="3" t="n">
        <v>23400</v>
      </c>
      <c r="G3" s="2" t="n">
        <v>53.1</v>
      </c>
      <c r="H3" s="2" t="n">
        <v>15</v>
      </c>
      <c r="I3" t="inlineStr">
        <is>
          <t>Mamaearth Website</t>
        </is>
      </c>
    </row>
    <row r="4">
      <c r="A4" t="inlineStr">
        <is>
          <t>Mamaearth Onion Conditioner</t>
        </is>
      </c>
      <c r="B4" t="inlineStr">
        <is>
          <t>Hair Care</t>
        </is>
      </c>
      <c r="C4" t="inlineStr">
        <is>
          <t>250ml</t>
        </is>
      </c>
      <c r="D4" s="3" t="n">
        <v>349</v>
      </c>
      <c r="E4" s="3" t="n">
        <v>250</v>
      </c>
      <c r="F4" s="3" t="n">
        <v>18000</v>
      </c>
      <c r="G4" s="2" t="n">
        <v>104.7</v>
      </c>
      <c r="H4" s="2" t="n">
        <v>15</v>
      </c>
      <c r="I4" t="inlineStr">
        <is>
          <t>Mamaearth Website</t>
        </is>
      </c>
    </row>
    <row r="5">
      <c r="A5" t="inlineStr">
        <is>
          <t>Rosemary Hair Growth Oil with Rosemary &amp; Methi Dana for Promoting Hair Growth - 100 ml</t>
        </is>
      </c>
      <c r="B5" t="inlineStr">
        <is>
          <t>Hair Care</t>
        </is>
      </c>
      <c r="C5" t="inlineStr">
        <is>
          <t>100ml</t>
        </is>
      </c>
      <c r="D5" s="3" t="n">
        <v>100</v>
      </c>
      <c r="E5" s="3" t="n">
        <v>100</v>
      </c>
      <c r="F5" s="3" t="n">
        <v>23400</v>
      </c>
      <c r="G5" s="2" t="n">
        <v>30</v>
      </c>
      <c r="H5" s="2" t="n">
        <v>15</v>
      </c>
      <c r="I5" t="inlineStr">
        <is>
          <t>Mamaearth Website</t>
        </is>
      </c>
    </row>
    <row r="6">
      <c r="A6" t="inlineStr">
        <is>
          <t>Mamaearth Rosemary Shampoo</t>
        </is>
      </c>
      <c r="B6" t="inlineStr">
        <is>
          <t>Hair Care</t>
        </is>
      </c>
      <c r="C6" t="inlineStr">
        <is>
          <t>250ml</t>
        </is>
      </c>
      <c r="D6" s="3" t="n">
        <v>310</v>
      </c>
      <c r="E6" s="3" t="n">
        <v>250</v>
      </c>
      <c r="F6" s="3" t="n">
        <v>18000</v>
      </c>
      <c r="G6" s="2" t="n">
        <v>93</v>
      </c>
      <c r="H6" s="2" t="n">
        <v>15</v>
      </c>
      <c r="I6" t="inlineStr">
        <is>
          <t>Mamaearth Website</t>
        </is>
      </c>
    </row>
    <row r="7">
      <c r="A7" t="inlineStr">
        <is>
          <t>Mamaearth Argan Hair Mask</t>
        </is>
      </c>
      <c r="B7" t="inlineStr">
        <is>
          <t>Hair Care</t>
        </is>
      </c>
      <c r="C7" t="inlineStr">
        <is>
          <t>200g</t>
        </is>
      </c>
      <c r="D7" s="3" t="n">
        <v>372</v>
      </c>
      <c r="E7" s="3" t="n">
        <v>200</v>
      </c>
      <c r="F7" s="3" t="n">
        <v>18000</v>
      </c>
      <c r="G7" s="2" t="n">
        <v>111.6</v>
      </c>
      <c r="H7" s="2" t="n">
        <v>15</v>
      </c>
      <c r="I7" t="inlineStr">
        <is>
          <t>Mamaearth Website</t>
        </is>
      </c>
    </row>
    <row r="8">
      <c r="A8" t="inlineStr">
        <is>
          <t>Mamaearth Hair Serum</t>
        </is>
      </c>
      <c r="B8" t="inlineStr">
        <is>
          <t>Hair Care</t>
        </is>
      </c>
      <c r="C8" t="inlineStr">
        <is>
          <t>150ml</t>
        </is>
      </c>
      <c r="D8" s="3" t="n">
        <v>372</v>
      </c>
      <c r="E8" s="3" t="n">
        <v>150</v>
      </c>
      <c r="F8" s="3" t="n">
        <v>18000</v>
      </c>
      <c r="G8" s="2" t="n">
        <v>111.6</v>
      </c>
      <c r="H8" s="2" t="n">
        <v>15</v>
      </c>
      <c r="I8" t="inlineStr">
        <is>
          <t>Mamaearth Website</t>
        </is>
      </c>
    </row>
    <row r="9">
      <c r="A9" t="inlineStr">
        <is>
          <t>Mamaearth Onion Hair Growth Serum</t>
        </is>
      </c>
      <c r="B9" t="inlineStr">
        <is>
          <t>Hair Care</t>
        </is>
      </c>
      <c r="C9" t="inlineStr">
        <is>
          <t>150ml</t>
        </is>
      </c>
      <c r="D9" s="3" t="n">
        <v>799</v>
      </c>
      <c r="E9" s="3" t="n">
        <v>150</v>
      </c>
      <c r="F9" s="3" t="n">
        <v>14400</v>
      </c>
      <c r="G9" s="2" t="n">
        <v>239.7</v>
      </c>
      <c r="H9" s="2" t="n">
        <v>15</v>
      </c>
      <c r="I9" t="inlineStr">
        <is>
          <t>Mamaearth Website</t>
        </is>
      </c>
    </row>
    <row r="10">
      <c r="A10" t="inlineStr">
        <is>
          <t>Mamaearth Vitamin C Face Wash</t>
        </is>
      </c>
      <c r="B10" t="inlineStr">
        <is>
          <t>Face Care</t>
        </is>
      </c>
      <c r="C10" t="inlineStr">
        <is>
          <t>100ml</t>
        </is>
      </c>
      <c r="D10" s="3" t="n">
        <v>399</v>
      </c>
      <c r="E10" s="3" t="n">
        <v>100</v>
      </c>
      <c r="F10" s="3" t="n">
        <v>20000</v>
      </c>
      <c r="G10" s="2" t="n">
        <v>119.7</v>
      </c>
      <c r="H10" s="2" t="n">
        <v>15</v>
      </c>
      <c r="I10" t="inlineStr">
        <is>
          <t>Mamaearth Website</t>
        </is>
      </c>
    </row>
    <row r="11">
      <c r="A11" t="inlineStr">
        <is>
          <t>Ubtan Natural Glow Face Wash with Turmeric &amp; Saffron for Tan Removal – 100 ml</t>
        </is>
      </c>
      <c r="B11" t="inlineStr">
        <is>
          <t>Face Care</t>
        </is>
      </c>
      <c r="C11" t="inlineStr">
        <is>
          <t>100ml</t>
        </is>
      </c>
      <c r="D11" s="3" t="n">
        <v>100</v>
      </c>
      <c r="E11" s="3" t="n">
        <v>100</v>
      </c>
      <c r="F11" s="3" t="n">
        <v>26000</v>
      </c>
      <c r="G11" s="2" t="n">
        <v>30</v>
      </c>
      <c r="H11" s="2" t="n">
        <v>15</v>
      </c>
      <c r="I11" t="inlineStr">
        <is>
          <t>Mamaearth Website</t>
        </is>
      </c>
    </row>
    <row r="12">
      <c r="A12" t="inlineStr">
        <is>
          <t>Tea Tree Pimple Control Face Wash with Tea Tree &amp; Salicylic for Oily &amp; Acne-Prone Skin - 100ml</t>
        </is>
      </c>
      <c r="B12" t="inlineStr">
        <is>
          <t>Face Care</t>
        </is>
      </c>
      <c r="C12" t="inlineStr">
        <is>
          <t>100ml</t>
        </is>
      </c>
      <c r="D12" s="3" t="n">
        <v>100</v>
      </c>
      <c r="E12" s="3" t="n">
        <v>100</v>
      </c>
      <c r="F12" s="3" t="n">
        <v>26000</v>
      </c>
      <c r="G12" s="2" t="n">
        <v>30</v>
      </c>
      <c r="H12" s="2" t="n">
        <v>15</v>
      </c>
      <c r="I12" t="inlineStr">
        <is>
          <t>Mamaearth Website</t>
        </is>
      </c>
    </row>
    <row r="13">
      <c r="A13" t="inlineStr">
        <is>
          <t>Mamaearth Aloe Vera Face Wash</t>
        </is>
      </c>
      <c r="B13" t="inlineStr">
        <is>
          <t>Face Care</t>
        </is>
      </c>
      <c r="C13" t="inlineStr">
        <is>
          <t>100ml</t>
        </is>
      </c>
      <c r="D13" s="3" t="n">
        <v>269</v>
      </c>
      <c r="E13" s="3" t="n">
        <v>100</v>
      </c>
      <c r="F13" s="3" t="n">
        <v>22000</v>
      </c>
      <c r="G13" s="2" t="n">
        <v>80.7</v>
      </c>
      <c r="H13" s="2" t="n">
        <v>15</v>
      </c>
      <c r="I13" t="inlineStr">
        <is>
          <t>Mamaearth Website</t>
        </is>
      </c>
    </row>
    <row r="14">
      <c r="A14" t="inlineStr">
        <is>
          <t>Rice Dewy Bright Face Wash With Rice Water &amp; Niacinamide for Glass Skin - 200 ml</t>
        </is>
      </c>
      <c r="B14" t="inlineStr">
        <is>
          <t>Face Care</t>
        </is>
      </c>
      <c r="C14" t="inlineStr">
        <is>
          <t>100ml</t>
        </is>
      </c>
      <c r="D14" s="3" t="n">
        <v>100</v>
      </c>
      <c r="E14" s="3" t="n">
        <v>100</v>
      </c>
      <c r="F14" s="3" t="n">
        <v>26000</v>
      </c>
      <c r="G14" s="2" t="n">
        <v>30</v>
      </c>
      <c r="H14" s="2" t="n">
        <v>15</v>
      </c>
      <c r="I14" t="inlineStr">
        <is>
          <t>Mamaearth Website</t>
        </is>
      </c>
    </row>
    <row r="15">
      <c r="A15" t="inlineStr">
        <is>
          <t>Mamaearth Charcoal Face Wash</t>
        </is>
      </c>
      <c r="B15" t="inlineStr">
        <is>
          <t>Face Care</t>
        </is>
      </c>
      <c r="C15" t="inlineStr">
        <is>
          <t>100ml</t>
        </is>
      </c>
      <c r="D15" s="3" t="n">
        <v>269</v>
      </c>
      <c r="E15" s="3" t="n">
        <v>100</v>
      </c>
      <c r="F15" s="3" t="n">
        <v>22000</v>
      </c>
      <c r="G15" s="2" t="n">
        <v>80.7</v>
      </c>
      <c r="H15" s="2" t="n">
        <v>15</v>
      </c>
      <c r="I15" t="inlineStr">
        <is>
          <t>Mamaearth Website</t>
        </is>
      </c>
    </row>
    <row r="16">
      <c r="A16" t="inlineStr">
        <is>
          <t>Mamaearth Bye Bye Blemishes Face Wash</t>
        </is>
      </c>
      <c r="B16" t="inlineStr">
        <is>
          <t>Face Care</t>
        </is>
      </c>
      <c r="C16" t="inlineStr">
        <is>
          <t>100ml</t>
        </is>
      </c>
      <c r="D16" s="3" t="n">
        <v>269</v>
      </c>
      <c r="E16" s="3" t="n">
        <v>100</v>
      </c>
      <c r="F16" s="3" t="n">
        <v>22000</v>
      </c>
      <c r="G16" s="2" t="n">
        <v>80.7</v>
      </c>
      <c r="H16" s="2" t="n">
        <v>15</v>
      </c>
      <c r="I16" t="inlineStr">
        <is>
          <t>Mamaearth Website</t>
        </is>
      </c>
    </row>
    <row r="17">
      <c r="A17" t="inlineStr">
        <is>
          <t>Vitamin C Daily Glow Face Cream With Vitamin C &amp; Turmeric for Skin Illumination - 80 g</t>
        </is>
      </c>
      <c r="B17" t="inlineStr">
        <is>
          <t>Face Care</t>
        </is>
      </c>
      <c r="C17" t="inlineStr">
        <is>
          <t>50g</t>
        </is>
      </c>
      <c r="D17" s="3" t="n">
        <v>80</v>
      </c>
      <c r="E17" s="3" t="n">
        <v>50</v>
      </c>
      <c r="F17" s="3" t="n">
        <v>26000</v>
      </c>
      <c r="G17" s="2" t="n">
        <v>24</v>
      </c>
      <c r="H17" s="2" t="n">
        <v>15</v>
      </c>
      <c r="I17" t="inlineStr">
        <is>
          <t>Mamaearth Website</t>
        </is>
      </c>
    </row>
    <row r="18">
      <c r="A18" t="inlineStr">
        <is>
          <t>Mamaearth Ubtan Face Cream</t>
        </is>
      </c>
      <c r="B18" t="inlineStr">
        <is>
          <t>Face Care</t>
        </is>
      </c>
      <c r="C18" t="inlineStr">
        <is>
          <t>50g</t>
        </is>
      </c>
      <c r="D18" s="3" t="n">
        <v>399</v>
      </c>
      <c r="E18" s="3" t="n">
        <v>50</v>
      </c>
      <c r="F18" s="3" t="n">
        <v>20000</v>
      </c>
      <c r="G18" s="2" t="n">
        <v>119.7</v>
      </c>
      <c r="H18" s="2" t="n">
        <v>15</v>
      </c>
      <c r="I18" t="inlineStr">
        <is>
          <t>Mamaearth Website</t>
        </is>
      </c>
    </row>
    <row r="19">
      <c r="A19" t="inlineStr">
        <is>
          <t>Mamaearth Vitamin C Night Cream</t>
        </is>
      </c>
      <c r="B19" t="inlineStr">
        <is>
          <t>Face Care</t>
        </is>
      </c>
      <c r="C19" t="inlineStr">
        <is>
          <t>50g</t>
        </is>
      </c>
      <c r="D19" s="3" t="n">
        <v>599</v>
      </c>
      <c r="E19" s="3" t="n">
        <v>50</v>
      </c>
      <c r="F19" s="3" t="n">
        <v>16000</v>
      </c>
      <c r="G19" s="2" t="n">
        <v>179.7</v>
      </c>
      <c r="H19" s="2" t="n">
        <v>15</v>
      </c>
      <c r="I19" t="inlineStr">
        <is>
          <t>Mamaearth Website</t>
        </is>
      </c>
    </row>
    <row r="20">
      <c r="A20" t="inlineStr">
        <is>
          <t>Mamaearth Aqua Glow Face Cream</t>
        </is>
      </c>
      <c r="B20" t="inlineStr">
        <is>
          <t>Face Care</t>
        </is>
      </c>
      <c r="C20" t="inlineStr">
        <is>
          <t>50g</t>
        </is>
      </c>
      <c r="D20" s="3" t="n">
        <v>399</v>
      </c>
      <c r="E20" s="3" t="n">
        <v>50</v>
      </c>
      <c r="F20" s="3" t="n">
        <v>20000</v>
      </c>
      <c r="G20" s="2" t="n">
        <v>119.7</v>
      </c>
      <c r="H20" s="2" t="n">
        <v>15</v>
      </c>
      <c r="I20" t="inlineStr">
        <is>
          <t>Mamaearth Website</t>
        </is>
      </c>
    </row>
    <row r="21">
      <c r="A21" t="inlineStr">
        <is>
          <t>Mamaearth Honey Oats Face Cream</t>
        </is>
      </c>
      <c r="B21" t="inlineStr">
        <is>
          <t>Face Care</t>
        </is>
      </c>
      <c r="C21" t="inlineStr">
        <is>
          <t>50g</t>
        </is>
      </c>
      <c r="D21" s="3" t="n">
        <v>399</v>
      </c>
      <c r="E21" s="3" t="n">
        <v>50</v>
      </c>
      <c r="F21" s="3" t="n">
        <v>20000</v>
      </c>
      <c r="G21" s="2" t="n">
        <v>119.7</v>
      </c>
      <c r="H21" s="2" t="n">
        <v>15</v>
      </c>
      <c r="I21" t="inlineStr">
        <is>
          <t>Mamaearth Website</t>
        </is>
      </c>
    </row>
    <row r="22">
      <c r="A22" t="inlineStr">
        <is>
          <t>Mamaearth Bye Bye Blemishes Face Cream</t>
        </is>
      </c>
      <c r="B22" t="inlineStr">
        <is>
          <t>Face Care</t>
        </is>
      </c>
      <c r="C22" t="inlineStr">
        <is>
          <t>50g</t>
        </is>
      </c>
      <c r="D22" s="3" t="n">
        <v>471</v>
      </c>
      <c r="E22" s="3" t="n">
        <v>50</v>
      </c>
      <c r="F22" s="3" t="n">
        <v>18000</v>
      </c>
      <c r="G22" s="2" t="n">
        <v>141.3</v>
      </c>
      <c r="H22" s="2" t="n">
        <v>15</v>
      </c>
      <c r="I22" t="inlineStr">
        <is>
          <t>Mamaearth Website</t>
        </is>
      </c>
    </row>
    <row r="23">
      <c r="A23" t="inlineStr">
        <is>
          <t>Mamaearth Vitamin C Face Serum</t>
        </is>
      </c>
      <c r="B23" t="inlineStr">
        <is>
          <t>Face Care</t>
        </is>
      </c>
      <c r="C23" t="inlineStr">
        <is>
          <t>30ml</t>
        </is>
      </c>
      <c r="D23" s="3" t="n">
        <v>1043</v>
      </c>
      <c r="E23" s="3" t="n">
        <v>30</v>
      </c>
      <c r="F23" s="3" t="n">
        <v>16000</v>
      </c>
      <c r="G23" s="2" t="n">
        <v>312.9</v>
      </c>
      <c r="H23" s="2" t="n">
        <v>15</v>
      </c>
      <c r="I23" t="inlineStr">
        <is>
          <t>Mamaearth Website</t>
        </is>
      </c>
    </row>
    <row r="24">
      <c r="A24" t="inlineStr">
        <is>
          <t>Mamaearth Retinol Face Serum</t>
        </is>
      </c>
      <c r="B24" t="inlineStr">
        <is>
          <t>Face Care</t>
        </is>
      </c>
      <c r="C24" t="inlineStr">
        <is>
          <t>30ml</t>
        </is>
      </c>
      <c r="D24" s="3" t="n">
        <v>1043</v>
      </c>
      <c r="E24" s="3" t="n">
        <v>30</v>
      </c>
      <c r="F24" s="3" t="n">
        <v>16000</v>
      </c>
      <c r="G24" s="2" t="n">
        <v>312.9</v>
      </c>
      <c r="H24" s="2" t="n">
        <v>15</v>
      </c>
      <c r="I24" t="inlineStr">
        <is>
          <t>Mamaearth Website</t>
        </is>
      </c>
    </row>
    <row r="25">
      <c r="A25" t="inlineStr">
        <is>
          <t>Mamaearth Niacinamide Face Serum</t>
        </is>
      </c>
      <c r="B25" t="inlineStr">
        <is>
          <t>Face Care</t>
        </is>
      </c>
      <c r="C25" t="inlineStr">
        <is>
          <t>30ml</t>
        </is>
      </c>
      <c r="D25" s="3" t="n">
        <v>599</v>
      </c>
      <c r="E25" s="3" t="n">
        <v>30</v>
      </c>
      <c r="F25" s="3" t="n">
        <v>16000</v>
      </c>
      <c r="G25" s="2" t="n">
        <v>179.7</v>
      </c>
      <c r="H25" s="2" t="n">
        <v>15</v>
      </c>
      <c r="I25" t="inlineStr">
        <is>
          <t>Mamaearth Website</t>
        </is>
      </c>
    </row>
    <row r="26">
      <c r="A26" t="inlineStr">
        <is>
          <t>Mamaearth Hyaluronic Acid Serum</t>
        </is>
      </c>
      <c r="B26" t="inlineStr">
        <is>
          <t>Face Care</t>
        </is>
      </c>
      <c r="C26" t="inlineStr">
        <is>
          <t>30ml</t>
        </is>
      </c>
      <c r="D26" s="3" t="n">
        <v>649</v>
      </c>
      <c r="E26" s="3" t="n">
        <v>30</v>
      </c>
      <c r="F26" s="3" t="n">
        <v>16000</v>
      </c>
      <c r="G26" s="2" t="n">
        <v>194.7</v>
      </c>
      <c r="H26" s="2" t="n">
        <v>15</v>
      </c>
      <c r="I26" t="inlineStr">
        <is>
          <t>Mamaearth Website</t>
        </is>
      </c>
    </row>
    <row r="27">
      <c r="A27" t="inlineStr">
        <is>
          <t>Mamaearth AHA BHA Face Serum</t>
        </is>
      </c>
      <c r="B27" t="inlineStr">
        <is>
          <t>Face Care</t>
        </is>
      </c>
      <c r="C27" t="inlineStr">
        <is>
          <t>30ml</t>
        </is>
      </c>
      <c r="D27" s="3" t="n">
        <v>649</v>
      </c>
      <c r="E27" s="3" t="n">
        <v>30</v>
      </c>
      <c r="F27" s="3" t="n">
        <v>16000</v>
      </c>
      <c r="G27" s="2" t="n">
        <v>194.7</v>
      </c>
      <c r="H27" s="2" t="n">
        <v>15</v>
      </c>
      <c r="I27" t="inlineStr">
        <is>
          <t>Mamaearth Website</t>
        </is>
      </c>
    </row>
    <row r="28">
      <c r="A28" t="inlineStr">
        <is>
          <t>Mamaearth Rice Face Scrub</t>
        </is>
      </c>
      <c r="B28" t="inlineStr">
        <is>
          <t>Face Care</t>
        </is>
      </c>
      <c r="C28" t="inlineStr">
        <is>
          <t>100g</t>
        </is>
      </c>
      <c r="D28" s="3" t="n">
        <v>349</v>
      </c>
      <c r="E28" s="3" t="n">
        <v>100</v>
      </c>
      <c r="F28" s="3" t="n">
        <v>20000</v>
      </c>
      <c r="G28" s="2" t="n">
        <v>104.7</v>
      </c>
      <c r="H28" s="2" t="n">
        <v>15</v>
      </c>
      <c r="I28" t="inlineStr">
        <is>
          <t>Mamaearth Website</t>
        </is>
      </c>
    </row>
    <row r="29">
      <c r="A29" t="inlineStr">
        <is>
          <t>Mamaearth Ubtan Face Scrub</t>
        </is>
      </c>
      <c r="B29" t="inlineStr">
        <is>
          <t>Face Care</t>
        </is>
      </c>
      <c r="C29" t="inlineStr">
        <is>
          <t>100g</t>
        </is>
      </c>
      <c r="D29" s="3" t="n">
        <v>349</v>
      </c>
      <c r="E29" s="3" t="n">
        <v>100</v>
      </c>
      <c r="F29" s="3" t="n">
        <v>20000</v>
      </c>
      <c r="G29" s="2" t="n">
        <v>104.7</v>
      </c>
      <c r="H29" s="2" t="n">
        <v>15</v>
      </c>
      <c r="I29" t="inlineStr">
        <is>
          <t>Mamaearth Website</t>
        </is>
      </c>
    </row>
    <row r="30">
      <c r="A30" t="inlineStr">
        <is>
          <t>Mamaearth Charcoal Face Mask</t>
        </is>
      </c>
      <c r="B30" t="inlineStr">
        <is>
          <t>Face Care</t>
        </is>
      </c>
      <c r="C30" t="inlineStr">
        <is>
          <t>100g</t>
        </is>
      </c>
      <c r="D30" s="3" t="n">
        <v>424</v>
      </c>
      <c r="E30" s="3" t="n">
        <v>100</v>
      </c>
      <c r="F30" s="3" t="n">
        <v>18000</v>
      </c>
      <c r="G30" s="2" t="n">
        <v>127.2</v>
      </c>
      <c r="H30" s="2" t="n">
        <v>15</v>
      </c>
      <c r="I30" t="inlineStr">
        <is>
          <t>Mamaearth Website</t>
        </is>
      </c>
    </row>
    <row r="31">
      <c r="A31" t="inlineStr">
        <is>
          <t>Mamaearth Vitamin C Face Mask</t>
        </is>
      </c>
      <c r="B31" t="inlineStr">
        <is>
          <t>Face Care</t>
        </is>
      </c>
      <c r="C31" t="inlineStr">
        <is>
          <t>100g</t>
        </is>
      </c>
      <c r="D31" s="3" t="n">
        <v>225</v>
      </c>
      <c r="E31" s="3" t="n">
        <v>100</v>
      </c>
      <c r="F31" s="3" t="n">
        <v>22000</v>
      </c>
      <c r="G31" s="2" t="n">
        <v>67.5</v>
      </c>
      <c r="H31" s="2" t="n">
        <v>15</v>
      </c>
      <c r="I31" t="inlineStr">
        <is>
          <t>Mamaearth Website</t>
        </is>
      </c>
    </row>
    <row r="32">
      <c r="A32" t="inlineStr">
        <is>
          <t>Mamaearth Vitamin C Body Lotion</t>
        </is>
      </c>
      <c r="B32" t="inlineStr">
        <is>
          <t>Body Care</t>
        </is>
      </c>
      <c r="C32" t="inlineStr">
        <is>
          <t>400ml</t>
        </is>
      </c>
      <c r="D32" s="3" t="n">
        <v>469</v>
      </c>
      <c r="E32" s="3" t="n">
        <v>400</v>
      </c>
      <c r="F32" s="3" t="n">
        <v>13500</v>
      </c>
      <c r="G32" s="2" t="n">
        <v>140.7</v>
      </c>
      <c r="H32" s="2" t="n">
        <v>15</v>
      </c>
      <c r="I32" t="inlineStr">
        <is>
          <t>Mamaearth Website</t>
        </is>
      </c>
    </row>
    <row r="33">
      <c r="A33" t="inlineStr">
        <is>
          <t>Mamaearth Ubtan Body Lotion</t>
        </is>
      </c>
      <c r="B33" t="inlineStr">
        <is>
          <t>Body Care</t>
        </is>
      </c>
      <c r="C33" t="inlineStr">
        <is>
          <t>400ml</t>
        </is>
      </c>
      <c r="D33" s="3" t="n">
        <v>469</v>
      </c>
      <c r="E33" s="3" t="n">
        <v>400</v>
      </c>
      <c r="F33" s="3" t="n">
        <v>13500</v>
      </c>
      <c r="G33" s="2" t="n">
        <v>140.7</v>
      </c>
      <c r="H33" s="2" t="n">
        <v>15</v>
      </c>
      <c r="I33" t="inlineStr">
        <is>
          <t>Mamaearth Website</t>
        </is>
      </c>
    </row>
    <row r="34">
      <c r="A34" t="inlineStr">
        <is>
          <t>Mamaearth Cocoa Body Butter</t>
        </is>
      </c>
      <c r="B34" t="inlineStr">
        <is>
          <t>Body Care</t>
        </is>
      </c>
      <c r="C34" t="inlineStr">
        <is>
          <t>200g</t>
        </is>
      </c>
      <c r="D34" s="3" t="n">
        <v>469</v>
      </c>
      <c r="E34" s="3" t="n">
        <v>200</v>
      </c>
      <c r="F34" s="3" t="n">
        <v>13500</v>
      </c>
      <c r="G34" s="2" t="n">
        <v>140.7</v>
      </c>
      <c r="H34" s="2" t="n">
        <v>15</v>
      </c>
      <c r="I34" t="inlineStr">
        <is>
          <t>Mamaearth Website</t>
        </is>
      </c>
    </row>
    <row r="35">
      <c r="A35" t="inlineStr">
        <is>
          <t>Mamaearth Tea Tree Body Wash</t>
        </is>
      </c>
      <c r="B35" t="inlineStr">
        <is>
          <t>Body Care</t>
        </is>
      </c>
      <c r="C35" t="inlineStr">
        <is>
          <t>400ml</t>
        </is>
      </c>
      <c r="D35" s="3" t="n">
        <v>269</v>
      </c>
      <c r="E35" s="3" t="n">
        <v>400</v>
      </c>
      <c r="F35" s="3" t="n">
        <v>16500</v>
      </c>
      <c r="G35" s="2" t="n">
        <v>80.7</v>
      </c>
      <c r="H35" s="2" t="n">
        <v>15</v>
      </c>
      <c r="I35" t="inlineStr">
        <is>
          <t>Mamaearth Website</t>
        </is>
      </c>
    </row>
    <row r="36">
      <c r="A36" t="inlineStr">
        <is>
          <t>Mamaearth Baby Shampoo</t>
        </is>
      </c>
      <c r="B36" t="inlineStr">
        <is>
          <t>Baby Care</t>
        </is>
      </c>
      <c r="C36" t="inlineStr">
        <is>
          <t>200ml</t>
        </is>
      </c>
      <c r="D36" s="3" t="n">
        <v>399</v>
      </c>
      <c r="E36" s="3" t="n">
        <v>200</v>
      </c>
      <c r="F36" s="3" t="n">
        <v>12000</v>
      </c>
      <c r="G36" s="2" t="n">
        <v>119.7</v>
      </c>
      <c r="H36" s="2" t="n">
        <v>15</v>
      </c>
      <c r="I36" t="inlineStr">
        <is>
          <t>Mamaearth Website</t>
        </is>
      </c>
    </row>
    <row r="37">
      <c r="A37" t="inlineStr">
        <is>
          <t>Mamaearth Baby Lotion</t>
        </is>
      </c>
      <c r="B37" t="inlineStr">
        <is>
          <t>Baby Care</t>
        </is>
      </c>
      <c r="C37" t="inlineStr">
        <is>
          <t>200ml</t>
        </is>
      </c>
      <c r="D37" s="3" t="n">
        <v>467</v>
      </c>
      <c r="E37" s="3" t="n">
        <v>200</v>
      </c>
      <c r="F37" s="3" t="n">
        <v>10800</v>
      </c>
      <c r="G37" s="2" t="n">
        <v>140.1</v>
      </c>
      <c r="H37" s="2" t="n">
        <v>15</v>
      </c>
      <c r="I37" t="inlineStr">
        <is>
          <t>Mamaearth Website</t>
        </is>
      </c>
    </row>
    <row r="38">
      <c r="A38" t="inlineStr">
        <is>
          <t>Mamaearth Baby Soap</t>
        </is>
      </c>
      <c r="B38" t="inlineStr">
        <is>
          <t>Baby Care</t>
        </is>
      </c>
      <c r="C38" t="inlineStr">
        <is>
          <t>75g</t>
        </is>
      </c>
      <c r="D38" s="3" t="n">
        <v>399</v>
      </c>
      <c r="E38" s="3" t="n">
        <v>75</v>
      </c>
      <c r="F38" s="3" t="n">
        <v>12000</v>
      </c>
      <c r="G38" s="2" t="n">
        <v>119.7</v>
      </c>
      <c r="H38" s="2" t="n">
        <v>15</v>
      </c>
      <c r="I38" t="inlineStr">
        <is>
          <t>Mamaearth Website</t>
        </is>
      </c>
    </row>
    <row r="39">
      <c r="A39" t="inlineStr">
        <is>
          <t>Mamaearth Lip Balm</t>
        </is>
      </c>
      <c r="B39" t="inlineStr">
        <is>
          <t>Lip Care</t>
        </is>
      </c>
      <c r="C39" t="inlineStr">
        <is>
          <t>4g</t>
        </is>
      </c>
      <c r="D39" s="3" t="n">
        <v>299</v>
      </c>
      <c r="E39" s="3" t="n">
        <v>4</v>
      </c>
      <c r="F39" s="3" t="n">
        <v>27500</v>
      </c>
      <c r="G39" s="2" t="n">
        <v>89.7</v>
      </c>
      <c r="H39" s="2" t="n">
        <v>15</v>
      </c>
      <c r="I39" t="inlineStr">
        <is>
          <t>Mamaearth Website</t>
        </is>
      </c>
    </row>
    <row r="40">
      <c r="A40" t="inlineStr">
        <is>
          <t>Mamaearth Tinted Lip Balm</t>
        </is>
      </c>
      <c r="B40" t="inlineStr">
        <is>
          <t>Lip Care</t>
        </is>
      </c>
      <c r="C40" t="inlineStr">
        <is>
          <t>4g</t>
        </is>
      </c>
      <c r="D40" s="3" t="n">
        <v>299</v>
      </c>
      <c r="E40" s="3" t="n">
        <v>4</v>
      </c>
      <c r="F40" s="3" t="n">
        <v>27500</v>
      </c>
      <c r="G40" s="2" t="n">
        <v>89.7</v>
      </c>
      <c r="H40" s="2" t="n">
        <v>15</v>
      </c>
      <c r="I40" t="inlineStr">
        <is>
          <t>Mamaearth Website</t>
        </is>
      </c>
    </row>
    <row r="41">
      <c r="A41" t="inlineStr">
        <is>
          <t>Mamaearth Under Eye Cream</t>
        </is>
      </c>
      <c r="B41" t="inlineStr">
        <is>
          <t>Eye Care</t>
        </is>
      </c>
      <c r="C41" t="inlineStr">
        <is>
          <t>20g</t>
        </is>
      </c>
      <c r="D41" s="3" t="n">
        <v>349</v>
      </c>
      <c r="E41" s="3" t="n">
        <v>20</v>
      </c>
      <c r="F41" s="3" t="n">
        <v>10000</v>
      </c>
      <c r="G41" s="2" t="n">
        <v>104.7</v>
      </c>
      <c r="H41" s="2" t="n">
        <v>15</v>
      </c>
      <c r="I41" t="inlineStr">
        <is>
          <t>Mamaearth Website</t>
        </is>
      </c>
    </row>
    <row r="42">
      <c r="A42" t="inlineStr">
        <is>
          <t>Mamaearth Kajal</t>
        </is>
      </c>
      <c r="B42" t="inlineStr">
        <is>
          <t>Eye Care</t>
        </is>
      </c>
      <c r="C42" t="inlineStr">
        <is>
          <t>0.35g</t>
        </is>
      </c>
      <c r="D42" s="3" t="n">
        <v>698</v>
      </c>
      <c r="E42" s="3" t="n">
        <v>1</v>
      </c>
      <c r="F42" s="3" t="n">
        <v>8000</v>
      </c>
      <c r="G42" s="2" t="n">
        <v>209.4</v>
      </c>
      <c r="H42" s="2" t="n">
        <v>15</v>
      </c>
      <c r="I42" t="inlineStr">
        <is>
          <t>Mamaearth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</t>
        </is>
      </c>
      <c r="B2" s="2">
        <f>Product_Data!D2</f>
        <v/>
      </c>
      <c r="C2" s="2">
        <f>Product_Data!G2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Product_Data!H2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N2*Product_Data!F2</f>
        <v/>
      </c>
      <c r="R2" s="2">
        <f>O2*Product_Data!F2</f>
        <v/>
      </c>
    </row>
    <row r="3">
      <c r="A3" t="inlineStr">
        <is>
          <t>Mamaearth Onion Shampoo</t>
        </is>
      </c>
      <c r="B3" s="2">
        <f>Product_Data!D3</f>
        <v/>
      </c>
      <c r="C3" s="2">
        <f>Product_Data!G3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Product_Data!H3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N3*Product_Data!F3</f>
        <v/>
      </c>
      <c r="R3" s="2">
        <f>O3*Product_Data!F3</f>
        <v/>
      </c>
    </row>
    <row r="4">
      <c r="A4" t="inlineStr">
        <is>
          <t>Mamaearth Onion Conditioner</t>
        </is>
      </c>
      <c r="B4" s="2">
        <f>Product_Data!D4</f>
        <v/>
      </c>
      <c r="C4" s="2">
        <f>Product_Data!G4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Product_Data!H4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N4*Product_Data!F4</f>
        <v/>
      </c>
      <c r="R4" s="2">
        <f>O4*Product_Data!F4</f>
        <v/>
      </c>
    </row>
    <row r="5">
      <c r="A5" t="inlineStr">
        <is>
          <t>Rosemary Hair Growth Oil with Rosemary &amp; Methi Dana for Promoting Hair Growth - 100 ml</t>
        </is>
      </c>
      <c r="B5" s="2">
        <f>Product_Data!D5</f>
        <v/>
      </c>
      <c r="C5" s="2">
        <f>Product_Data!G5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Product_Data!H5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N5*Product_Data!F5</f>
        <v/>
      </c>
      <c r="R5" s="2">
        <f>O5*Product_Data!F5</f>
        <v/>
      </c>
    </row>
    <row r="6">
      <c r="A6" t="inlineStr">
        <is>
          <t>Mamaearth Rosemary Shampoo</t>
        </is>
      </c>
      <c r="B6" s="2">
        <f>Product_Data!D6</f>
        <v/>
      </c>
      <c r="C6" s="2">
        <f>Product_Data!G6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Product_Data!H6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N6*Product_Data!F6</f>
        <v/>
      </c>
      <c r="R6" s="2">
        <f>O6*Product_Data!F6</f>
        <v/>
      </c>
    </row>
    <row r="7">
      <c r="A7" t="inlineStr">
        <is>
          <t>Mamaearth Argan Hair Mask</t>
        </is>
      </c>
      <c r="B7" s="2">
        <f>Product_Data!D7</f>
        <v/>
      </c>
      <c r="C7" s="2">
        <f>Product_Data!G7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Product_Data!H7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N7*Product_Data!F7</f>
        <v/>
      </c>
      <c r="R7" s="2">
        <f>O7*Product_Data!F7</f>
        <v/>
      </c>
    </row>
    <row r="8">
      <c r="A8" t="inlineStr">
        <is>
          <t>Mamaearth Hair Serum</t>
        </is>
      </c>
      <c r="B8" s="2">
        <f>Product_Data!D8</f>
        <v/>
      </c>
      <c r="C8" s="2">
        <f>Product_Data!G8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Product_Data!H8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N8*Product_Data!F8</f>
        <v/>
      </c>
      <c r="R8" s="2">
        <f>O8*Product_Data!F8</f>
        <v/>
      </c>
    </row>
    <row r="9">
      <c r="A9" t="inlineStr">
        <is>
          <t>Mamaearth Onion Hair Growth Serum</t>
        </is>
      </c>
      <c r="B9" s="2">
        <f>Product_Data!D9</f>
        <v/>
      </c>
      <c r="C9" s="2">
        <f>Product_Data!G9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Product_Data!H9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N9*Product_Data!F9</f>
        <v/>
      </c>
      <c r="R9" s="2">
        <f>O9*Product_Data!F9</f>
        <v/>
      </c>
    </row>
    <row r="10">
      <c r="A10" t="inlineStr">
        <is>
          <t>Mamaearth Vitamin C Face Wash</t>
        </is>
      </c>
      <c r="B10" s="2">
        <f>Product_Data!D10</f>
        <v/>
      </c>
      <c r="C10" s="2">
        <f>Product_Data!G10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Product_Data!H10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N10*Product_Data!F10</f>
        <v/>
      </c>
      <c r="R10" s="2">
        <f>O10*Product_Data!F10</f>
        <v/>
      </c>
    </row>
    <row r="11">
      <c r="A11" t="inlineStr">
        <is>
          <t>Ubtan Natural Glow Face Wash with Turmeric &amp; Saffron for Tan Removal – 100 ml</t>
        </is>
      </c>
      <c r="B11" s="2">
        <f>Product_Data!D11</f>
        <v/>
      </c>
      <c r="C11" s="2">
        <f>Product_Data!G11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Product_Data!H11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N11*Product_Data!F11</f>
        <v/>
      </c>
      <c r="R11" s="2">
        <f>O11*Product_Data!F11</f>
        <v/>
      </c>
    </row>
    <row r="12">
      <c r="A12" t="inlineStr">
        <is>
          <t>Tea Tree Pimple Control Face Wash with Tea Tree &amp; Salicylic for Oily &amp; Acne-Prone Skin - 100ml</t>
        </is>
      </c>
      <c r="B12" s="2">
        <f>Product_Data!D12</f>
        <v/>
      </c>
      <c r="C12" s="2">
        <f>Product_Data!G12</f>
        <v/>
      </c>
      <c r="D12" s="2">
        <f>B12*Parameters!B2</f>
        <v/>
      </c>
      <c r="E12" s="2">
        <f>B12*Parameters!B3</f>
        <v/>
      </c>
      <c r="F12" s="2">
        <f>B12*Parameters!B4</f>
        <v/>
      </c>
      <c r="G12" s="2">
        <f>Product_Data!H12</f>
        <v/>
      </c>
      <c r="H12" s="2">
        <f>Parameters!B5</f>
        <v/>
      </c>
      <c r="I12" s="2">
        <f>Parameters!B6</f>
        <v/>
      </c>
      <c r="J12" s="2">
        <f>Parameters!B7</f>
        <v/>
      </c>
      <c r="K12" s="2">
        <f>Parameters!B8</f>
        <v/>
      </c>
      <c r="L12" s="2">
        <f>C12+D12+F12+G12+H12+I12+J12</f>
        <v/>
      </c>
      <c r="M12" s="2">
        <f>C12+E12+F12+G12+H12+I12+K12</f>
        <v/>
      </c>
      <c r="N12" s="2">
        <f>B12-L12</f>
        <v/>
      </c>
      <c r="O12" s="2">
        <f>B12-M12</f>
        <v/>
      </c>
      <c r="P12" s="2">
        <f>(O12-N12)/ABS(N12)*100</f>
        <v/>
      </c>
      <c r="Q12" s="2">
        <f>N12*Product_Data!F12</f>
        <v/>
      </c>
      <c r="R12" s="2">
        <f>O12*Product_Data!F12</f>
        <v/>
      </c>
    </row>
    <row r="13">
      <c r="A13" t="inlineStr">
        <is>
          <t>Mamaearth Aloe Vera Face Wash</t>
        </is>
      </c>
      <c r="B13" s="2">
        <f>Product_Data!D13</f>
        <v/>
      </c>
      <c r="C13" s="2">
        <f>Product_Data!G13</f>
        <v/>
      </c>
      <c r="D13" s="2">
        <f>B13*Parameters!B2</f>
        <v/>
      </c>
      <c r="E13" s="2">
        <f>B13*Parameters!B3</f>
        <v/>
      </c>
      <c r="F13" s="2">
        <f>B13*Parameters!B4</f>
        <v/>
      </c>
      <c r="G13" s="2">
        <f>Product_Data!H13</f>
        <v/>
      </c>
      <c r="H13" s="2">
        <f>Parameters!B5</f>
        <v/>
      </c>
      <c r="I13" s="2">
        <f>Parameters!B6</f>
        <v/>
      </c>
      <c r="J13" s="2">
        <f>Parameters!B7</f>
        <v/>
      </c>
      <c r="K13" s="2">
        <f>Parameters!B8</f>
        <v/>
      </c>
      <c r="L13" s="2">
        <f>C13+D13+F13+G13+H13+I13+J13</f>
        <v/>
      </c>
      <c r="M13" s="2">
        <f>C13+E13+F13+G13+H13+I13+K13</f>
        <v/>
      </c>
      <c r="N13" s="2">
        <f>B13-L13</f>
        <v/>
      </c>
      <c r="O13" s="2">
        <f>B13-M13</f>
        <v/>
      </c>
      <c r="P13" s="2">
        <f>(O13-N13)/ABS(N13)*100</f>
        <v/>
      </c>
      <c r="Q13" s="2">
        <f>N13*Product_Data!F13</f>
        <v/>
      </c>
      <c r="R13" s="2">
        <f>O13*Product_Data!F13</f>
        <v/>
      </c>
    </row>
    <row r="14">
      <c r="A14" t="inlineStr">
        <is>
          <t>Rice Dewy Bright Face Wash With Rice Water &amp; Niacinamide for Glass Skin - 200 ml</t>
        </is>
      </c>
      <c r="B14" s="2">
        <f>Product_Data!D14</f>
        <v/>
      </c>
      <c r="C14" s="2">
        <f>Product_Data!G14</f>
        <v/>
      </c>
      <c r="D14" s="2">
        <f>B14*Parameters!B2</f>
        <v/>
      </c>
      <c r="E14" s="2">
        <f>B14*Parameters!B3</f>
        <v/>
      </c>
      <c r="F14" s="2">
        <f>B14*Parameters!B4</f>
        <v/>
      </c>
      <c r="G14" s="2">
        <f>Product_Data!H14</f>
        <v/>
      </c>
      <c r="H14" s="2">
        <f>Parameters!B5</f>
        <v/>
      </c>
      <c r="I14" s="2">
        <f>Parameters!B6</f>
        <v/>
      </c>
      <c r="J14" s="2">
        <f>Parameters!B7</f>
        <v/>
      </c>
      <c r="K14" s="2">
        <f>Parameters!B8</f>
        <v/>
      </c>
      <c r="L14" s="2">
        <f>C14+D14+F14+G14+H14+I14+J14</f>
        <v/>
      </c>
      <c r="M14" s="2">
        <f>C14+E14+F14+G14+H14+I14+K14</f>
        <v/>
      </c>
      <c r="N14" s="2">
        <f>B14-L14</f>
        <v/>
      </c>
      <c r="O14" s="2">
        <f>B14-M14</f>
        <v/>
      </c>
      <c r="P14" s="2">
        <f>(O14-N14)/ABS(N14)*100</f>
        <v/>
      </c>
      <c r="Q14" s="2">
        <f>N14*Product_Data!F14</f>
        <v/>
      </c>
      <c r="R14" s="2">
        <f>O14*Product_Data!F14</f>
        <v/>
      </c>
    </row>
    <row r="15">
      <c r="A15" t="inlineStr">
        <is>
          <t>Mamaearth Charcoal Face Wash</t>
        </is>
      </c>
      <c r="B15" s="2">
        <f>Product_Data!D15</f>
        <v/>
      </c>
      <c r="C15" s="2">
        <f>Product_Data!G15</f>
        <v/>
      </c>
      <c r="D15" s="2">
        <f>B15*Parameters!B2</f>
        <v/>
      </c>
      <c r="E15" s="2">
        <f>B15*Parameters!B3</f>
        <v/>
      </c>
      <c r="F15" s="2">
        <f>B15*Parameters!B4</f>
        <v/>
      </c>
      <c r="G15" s="2">
        <f>Product_Data!H15</f>
        <v/>
      </c>
      <c r="H15" s="2">
        <f>Parameters!B5</f>
        <v/>
      </c>
      <c r="I15" s="2">
        <f>Parameters!B6</f>
        <v/>
      </c>
      <c r="J15" s="2">
        <f>Parameters!B7</f>
        <v/>
      </c>
      <c r="K15" s="2">
        <f>Parameters!B8</f>
        <v/>
      </c>
      <c r="L15" s="2">
        <f>C15+D15+F15+G15+H15+I15+J15</f>
        <v/>
      </c>
      <c r="M15" s="2">
        <f>C15+E15+F15+G15+H15+I15+K15</f>
        <v/>
      </c>
      <c r="N15" s="2">
        <f>B15-L15</f>
        <v/>
      </c>
      <c r="O15" s="2">
        <f>B15-M15</f>
        <v/>
      </c>
      <c r="P15" s="2">
        <f>(O15-N15)/ABS(N15)*100</f>
        <v/>
      </c>
      <c r="Q15" s="2">
        <f>N15*Product_Data!F15</f>
        <v/>
      </c>
      <c r="R15" s="2">
        <f>O15*Product_Data!F15</f>
        <v/>
      </c>
    </row>
    <row r="16">
      <c r="A16" t="inlineStr">
        <is>
          <t>Mamaearth Bye Bye Blemishes Face Wash</t>
        </is>
      </c>
      <c r="B16" s="2">
        <f>Product_Data!D16</f>
        <v/>
      </c>
      <c r="C16" s="2">
        <f>Product_Data!G16</f>
        <v/>
      </c>
      <c r="D16" s="2">
        <f>B16*Parameters!B2</f>
        <v/>
      </c>
      <c r="E16" s="2">
        <f>B16*Parameters!B3</f>
        <v/>
      </c>
      <c r="F16" s="2">
        <f>B16*Parameters!B4</f>
        <v/>
      </c>
      <c r="G16" s="2">
        <f>Product_Data!H16</f>
        <v/>
      </c>
      <c r="H16" s="2">
        <f>Parameters!B5</f>
        <v/>
      </c>
      <c r="I16" s="2">
        <f>Parameters!B6</f>
        <v/>
      </c>
      <c r="J16" s="2">
        <f>Parameters!B7</f>
        <v/>
      </c>
      <c r="K16" s="2">
        <f>Parameters!B8</f>
        <v/>
      </c>
      <c r="L16" s="2">
        <f>C16+D16+F16+G16+H16+I16+J16</f>
        <v/>
      </c>
      <c r="M16" s="2">
        <f>C16+E16+F16+G16+H16+I16+K16</f>
        <v/>
      </c>
      <c r="N16" s="2">
        <f>B16-L16</f>
        <v/>
      </c>
      <c r="O16" s="2">
        <f>B16-M16</f>
        <v/>
      </c>
      <c r="P16" s="2">
        <f>(O16-N16)/ABS(N16)*100</f>
        <v/>
      </c>
      <c r="Q16" s="2">
        <f>N16*Product_Data!F16</f>
        <v/>
      </c>
      <c r="R16" s="2">
        <f>O16*Product_Data!F16</f>
        <v/>
      </c>
    </row>
    <row r="17">
      <c r="A17" t="inlineStr">
        <is>
          <t>Vitamin C Daily Glow Face Cream With Vitamin C &amp; Turmeric for Skin Illumination - 80 g</t>
        </is>
      </c>
      <c r="B17" s="2">
        <f>Product_Data!D17</f>
        <v/>
      </c>
      <c r="C17" s="2">
        <f>Product_Data!G17</f>
        <v/>
      </c>
      <c r="D17" s="2">
        <f>B17*Parameters!B2</f>
        <v/>
      </c>
      <c r="E17" s="2">
        <f>B17*Parameters!B3</f>
        <v/>
      </c>
      <c r="F17" s="2">
        <f>B17*Parameters!B4</f>
        <v/>
      </c>
      <c r="G17" s="2">
        <f>Product_Data!H17</f>
        <v/>
      </c>
      <c r="H17" s="2">
        <f>Parameters!B5</f>
        <v/>
      </c>
      <c r="I17" s="2">
        <f>Parameters!B6</f>
        <v/>
      </c>
      <c r="J17" s="2">
        <f>Parameters!B7</f>
        <v/>
      </c>
      <c r="K17" s="2">
        <f>Parameters!B8</f>
        <v/>
      </c>
      <c r="L17" s="2">
        <f>C17+D17+F17+G17+H17+I17+J17</f>
        <v/>
      </c>
      <c r="M17" s="2">
        <f>C17+E17+F17+G17+H17+I17+K17</f>
        <v/>
      </c>
      <c r="N17" s="2">
        <f>B17-L17</f>
        <v/>
      </c>
      <c r="O17" s="2">
        <f>B17-M17</f>
        <v/>
      </c>
      <c r="P17" s="2">
        <f>(O17-N17)/ABS(N17)*100</f>
        <v/>
      </c>
      <c r="Q17" s="2">
        <f>N17*Product_Data!F17</f>
        <v/>
      </c>
      <c r="R17" s="2">
        <f>O17*Product_Data!F17</f>
        <v/>
      </c>
    </row>
    <row r="18">
      <c r="A18" t="inlineStr">
        <is>
          <t>Mamaearth Ubtan Face Cream</t>
        </is>
      </c>
      <c r="B18" s="2">
        <f>Product_Data!D18</f>
        <v/>
      </c>
      <c r="C18" s="2">
        <f>Product_Data!G18</f>
        <v/>
      </c>
      <c r="D18" s="2">
        <f>B18*Parameters!B2</f>
        <v/>
      </c>
      <c r="E18" s="2">
        <f>B18*Parameters!B3</f>
        <v/>
      </c>
      <c r="F18" s="2">
        <f>B18*Parameters!B4</f>
        <v/>
      </c>
      <c r="G18" s="2">
        <f>Product_Data!H18</f>
        <v/>
      </c>
      <c r="H18" s="2">
        <f>Parameters!B5</f>
        <v/>
      </c>
      <c r="I18" s="2">
        <f>Parameters!B6</f>
        <v/>
      </c>
      <c r="J18" s="2">
        <f>Parameters!B7</f>
        <v/>
      </c>
      <c r="K18" s="2">
        <f>Parameters!B8</f>
        <v/>
      </c>
      <c r="L18" s="2">
        <f>C18+D18+F18+G18+H18+I18+J18</f>
        <v/>
      </c>
      <c r="M18" s="2">
        <f>C18+E18+F18+G18+H18+I18+K18</f>
        <v/>
      </c>
      <c r="N18" s="2">
        <f>B18-L18</f>
        <v/>
      </c>
      <c r="O18" s="2">
        <f>B18-M18</f>
        <v/>
      </c>
      <c r="P18" s="2">
        <f>(O18-N18)/ABS(N18)*100</f>
        <v/>
      </c>
      <c r="Q18" s="2">
        <f>N18*Product_Data!F18</f>
        <v/>
      </c>
      <c r="R18" s="2">
        <f>O18*Product_Data!F18</f>
        <v/>
      </c>
    </row>
    <row r="19">
      <c r="A19" t="inlineStr">
        <is>
          <t>Mamaearth Vitamin C Night Cream</t>
        </is>
      </c>
      <c r="B19" s="2">
        <f>Product_Data!D19</f>
        <v/>
      </c>
      <c r="C19" s="2">
        <f>Product_Data!G19</f>
        <v/>
      </c>
      <c r="D19" s="2">
        <f>B19*Parameters!B2</f>
        <v/>
      </c>
      <c r="E19" s="2">
        <f>B19*Parameters!B3</f>
        <v/>
      </c>
      <c r="F19" s="2">
        <f>B19*Parameters!B4</f>
        <v/>
      </c>
      <c r="G19" s="2">
        <f>Product_Data!H19</f>
        <v/>
      </c>
      <c r="H19" s="2">
        <f>Parameters!B5</f>
        <v/>
      </c>
      <c r="I19" s="2">
        <f>Parameters!B6</f>
        <v/>
      </c>
      <c r="J19" s="2">
        <f>Parameters!B7</f>
        <v/>
      </c>
      <c r="K19" s="2">
        <f>Parameters!B8</f>
        <v/>
      </c>
      <c r="L19" s="2">
        <f>C19+D19+F19+G19+H19+I19+J19</f>
        <v/>
      </c>
      <c r="M19" s="2">
        <f>C19+E19+F19+G19+H19+I19+K19</f>
        <v/>
      </c>
      <c r="N19" s="2">
        <f>B19-L19</f>
        <v/>
      </c>
      <c r="O19" s="2">
        <f>B19-M19</f>
        <v/>
      </c>
      <c r="P19" s="2">
        <f>(O19-N19)/ABS(N19)*100</f>
        <v/>
      </c>
      <c r="Q19" s="2">
        <f>N19*Product_Data!F19</f>
        <v/>
      </c>
      <c r="R19" s="2">
        <f>O19*Product_Data!F19</f>
        <v/>
      </c>
    </row>
    <row r="20">
      <c r="A20" t="inlineStr">
        <is>
          <t>Mamaearth Aqua Glow Face Cream</t>
        </is>
      </c>
      <c r="B20" s="2">
        <f>Product_Data!D20</f>
        <v/>
      </c>
      <c r="C20" s="2">
        <f>Product_Data!G20</f>
        <v/>
      </c>
      <c r="D20" s="2">
        <f>B20*Parameters!B2</f>
        <v/>
      </c>
      <c r="E20" s="2">
        <f>B20*Parameters!B3</f>
        <v/>
      </c>
      <c r="F20" s="2">
        <f>B20*Parameters!B4</f>
        <v/>
      </c>
      <c r="G20" s="2">
        <f>Product_Data!H20</f>
        <v/>
      </c>
      <c r="H20" s="2">
        <f>Parameters!B5</f>
        <v/>
      </c>
      <c r="I20" s="2">
        <f>Parameters!B6</f>
        <v/>
      </c>
      <c r="J20" s="2">
        <f>Parameters!B7</f>
        <v/>
      </c>
      <c r="K20" s="2">
        <f>Parameters!B8</f>
        <v/>
      </c>
      <c r="L20" s="2">
        <f>C20+D20+F20+G20+H20+I20+J20</f>
        <v/>
      </c>
      <c r="M20" s="2">
        <f>C20+E20+F20+G20+H20+I20+K20</f>
        <v/>
      </c>
      <c r="N20" s="2">
        <f>B20-L20</f>
        <v/>
      </c>
      <c r="O20" s="2">
        <f>B20-M20</f>
        <v/>
      </c>
      <c r="P20" s="2">
        <f>(O20-N20)/ABS(N20)*100</f>
        <v/>
      </c>
      <c r="Q20" s="2">
        <f>N20*Product_Data!F20</f>
        <v/>
      </c>
      <c r="R20" s="2">
        <f>O20*Product_Data!F20</f>
        <v/>
      </c>
    </row>
    <row r="21">
      <c r="A21" t="inlineStr">
        <is>
          <t>Mamaearth Honey Oats Face Cream</t>
        </is>
      </c>
      <c r="B21" s="2">
        <f>Product_Data!D21</f>
        <v/>
      </c>
      <c r="C21" s="2">
        <f>Product_Data!G21</f>
        <v/>
      </c>
      <c r="D21" s="2">
        <f>B21*Parameters!B2</f>
        <v/>
      </c>
      <c r="E21" s="2">
        <f>B21*Parameters!B3</f>
        <v/>
      </c>
      <c r="F21" s="2">
        <f>B21*Parameters!B4</f>
        <v/>
      </c>
      <c r="G21" s="2">
        <f>Product_Data!H21</f>
        <v/>
      </c>
      <c r="H21" s="2">
        <f>Parameters!B5</f>
        <v/>
      </c>
      <c r="I21" s="2">
        <f>Parameters!B6</f>
        <v/>
      </c>
      <c r="J21" s="2">
        <f>Parameters!B7</f>
        <v/>
      </c>
      <c r="K21" s="2">
        <f>Parameters!B8</f>
        <v/>
      </c>
      <c r="L21" s="2">
        <f>C21+D21+F21+G21+H21+I21+J21</f>
        <v/>
      </c>
      <c r="M21" s="2">
        <f>C21+E21+F21+G21+H21+I21+K21</f>
        <v/>
      </c>
      <c r="N21" s="2">
        <f>B21-L21</f>
        <v/>
      </c>
      <c r="O21" s="2">
        <f>B21-M21</f>
        <v/>
      </c>
      <c r="P21" s="2">
        <f>(O21-N21)/ABS(N21)*100</f>
        <v/>
      </c>
      <c r="Q21" s="2">
        <f>N21*Product_Data!F21</f>
        <v/>
      </c>
      <c r="R21" s="2">
        <f>O21*Product_Data!F21</f>
        <v/>
      </c>
    </row>
    <row r="22">
      <c r="A22" t="inlineStr">
        <is>
          <t>Mamaearth Bye Bye Blemishes Face Cream</t>
        </is>
      </c>
      <c r="B22" s="2">
        <f>Product_Data!D22</f>
        <v/>
      </c>
      <c r="C22" s="2">
        <f>Product_Data!G22</f>
        <v/>
      </c>
      <c r="D22" s="2">
        <f>B22*Parameters!B2</f>
        <v/>
      </c>
      <c r="E22" s="2">
        <f>B22*Parameters!B3</f>
        <v/>
      </c>
      <c r="F22" s="2">
        <f>B22*Parameters!B4</f>
        <v/>
      </c>
      <c r="G22" s="2">
        <f>Product_Data!H22</f>
        <v/>
      </c>
      <c r="H22" s="2">
        <f>Parameters!B5</f>
        <v/>
      </c>
      <c r="I22" s="2">
        <f>Parameters!B6</f>
        <v/>
      </c>
      <c r="J22" s="2">
        <f>Parameters!B7</f>
        <v/>
      </c>
      <c r="K22" s="2">
        <f>Parameters!B8</f>
        <v/>
      </c>
      <c r="L22" s="2">
        <f>C22+D22+F22+G22+H22+I22+J22</f>
        <v/>
      </c>
      <c r="M22" s="2">
        <f>C22+E22+F22+G22+H22+I22+K22</f>
        <v/>
      </c>
      <c r="N22" s="2">
        <f>B22-L22</f>
        <v/>
      </c>
      <c r="O22" s="2">
        <f>B22-M22</f>
        <v/>
      </c>
      <c r="P22" s="2">
        <f>(O22-N22)/ABS(N22)*100</f>
        <v/>
      </c>
      <c r="Q22" s="2">
        <f>N22*Product_Data!F22</f>
        <v/>
      </c>
      <c r="R22" s="2">
        <f>O22*Product_Data!F22</f>
        <v/>
      </c>
    </row>
    <row r="23">
      <c r="A23" t="inlineStr">
        <is>
          <t>Mamaearth Vitamin C Face Serum</t>
        </is>
      </c>
      <c r="B23" s="2">
        <f>Product_Data!D23</f>
        <v/>
      </c>
      <c r="C23" s="2">
        <f>Product_Data!G23</f>
        <v/>
      </c>
      <c r="D23" s="2">
        <f>B23*Parameters!B2</f>
        <v/>
      </c>
      <c r="E23" s="2">
        <f>B23*Parameters!B3</f>
        <v/>
      </c>
      <c r="F23" s="2">
        <f>B23*Parameters!B4</f>
        <v/>
      </c>
      <c r="G23" s="2">
        <f>Product_Data!H23</f>
        <v/>
      </c>
      <c r="H23" s="2">
        <f>Parameters!B5</f>
        <v/>
      </c>
      <c r="I23" s="2">
        <f>Parameters!B6</f>
        <v/>
      </c>
      <c r="J23" s="2">
        <f>Parameters!B7</f>
        <v/>
      </c>
      <c r="K23" s="2">
        <f>Parameters!B8</f>
        <v/>
      </c>
      <c r="L23" s="2">
        <f>C23+D23+F23+G23+H23+I23+J23</f>
        <v/>
      </c>
      <c r="M23" s="2">
        <f>C23+E23+F23+G23+H23+I23+K23</f>
        <v/>
      </c>
      <c r="N23" s="2">
        <f>B23-L23</f>
        <v/>
      </c>
      <c r="O23" s="2">
        <f>B23-M23</f>
        <v/>
      </c>
      <c r="P23" s="2">
        <f>(O23-N23)/ABS(N23)*100</f>
        <v/>
      </c>
      <c r="Q23" s="2">
        <f>N23*Product_Data!F23</f>
        <v/>
      </c>
      <c r="R23" s="2">
        <f>O23*Product_Data!F23</f>
        <v/>
      </c>
    </row>
    <row r="24">
      <c r="A24" t="inlineStr">
        <is>
          <t>Mamaearth Retinol Face Serum</t>
        </is>
      </c>
      <c r="B24" s="2">
        <f>Product_Data!D24</f>
        <v/>
      </c>
      <c r="C24" s="2">
        <f>Product_Data!G24</f>
        <v/>
      </c>
      <c r="D24" s="2">
        <f>B24*Parameters!B2</f>
        <v/>
      </c>
      <c r="E24" s="2">
        <f>B24*Parameters!B3</f>
        <v/>
      </c>
      <c r="F24" s="2">
        <f>B24*Parameters!B4</f>
        <v/>
      </c>
      <c r="G24" s="2">
        <f>Product_Data!H24</f>
        <v/>
      </c>
      <c r="H24" s="2">
        <f>Parameters!B5</f>
        <v/>
      </c>
      <c r="I24" s="2">
        <f>Parameters!B6</f>
        <v/>
      </c>
      <c r="J24" s="2">
        <f>Parameters!B7</f>
        <v/>
      </c>
      <c r="K24" s="2">
        <f>Parameters!B8</f>
        <v/>
      </c>
      <c r="L24" s="2">
        <f>C24+D24+F24+G24+H24+I24+J24</f>
        <v/>
      </c>
      <c r="M24" s="2">
        <f>C24+E24+F24+G24+H24+I24+K24</f>
        <v/>
      </c>
      <c r="N24" s="2">
        <f>B24-L24</f>
        <v/>
      </c>
      <c r="O24" s="2">
        <f>B24-M24</f>
        <v/>
      </c>
      <c r="P24" s="2">
        <f>(O24-N24)/ABS(N24)*100</f>
        <v/>
      </c>
      <c r="Q24" s="2">
        <f>N24*Product_Data!F24</f>
        <v/>
      </c>
      <c r="R24" s="2">
        <f>O24*Product_Data!F24</f>
        <v/>
      </c>
    </row>
    <row r="25">
      <c r="A25" t="inlineStr">
        <is>
          <t>Mamaearth Niacinamide Face Serum</t>
        </is>
      </c>
      <c r="B25" s="2">
        <f>Product_Data!D25</f>
        <v/>
      </c>
      <c r="C25" s="2">
        <f>Product_Data!G25</f>
        <v/>
      </c>
      <c r="D25" s="2">
        <f>B25*Parameters!B2</f>
        <v/>
      </c>
      <c r="E25" s="2">
        <f>B25*Parameters!B3</f>
        <v/>
      </c>
      <c r="F25" s="2">
        <f>B25*Parameters!B4</f>
        <v/>
      </c>
      <c r="G25" s="2">
        <f>Product_Data!H25</f>
        <v/>
      </c>
      <c r="H25" s="2">
        <f>Parameters!B5</f>
        <v/>
      </c>
      <c r="I25" s="2">
        <f>Parameters!B6</f>
        <v/>
      </c>
      <c r="J25" s="2">
        <f>Parameters!B7</f>
        <v/>
      </c>
      <c r="K25" s="2">
        <f>Parameters!B8</f>
        <v/>
      </c>
      <c r="L25" s="2">
        <f>C25+D25+F25+G25+H25+I25+J25</f>
        <v/>
      </c>
      <c r="M25" s="2">
        <f>C25+E25+F25+G25+H25+I25+K25</f>
        <v/>
      </c>
      <c r="N25" s="2">
        <f>B25-L25</f>
        <v/>
      </c>
      <c r="O25" s="2">
        <f>B25-M25</f>
        <v/>
      </c>
      <c r="P25" s="2">
        <f>(O25-N25)/ABS(N25)*100</f>
        <v/>
      </c>
      <c r="Q25" s="2">
        <f>N25*Product_Data!F25</f>
        <v/>
      </c>
      <c r="R25" s="2">
        <f>O25*Product_Data!F25</f>
        <v/>
      </c>
    </row>
    <row r="26">
      <c r="A26" t="inlineStr">
        <is>
          <t>Mamaearth Hyaluronic Acid Serum</t>
        </is>
      </c>
      <c r="B26" s="2">
        <f>Product_Data!D26</f>
        <v/>
      </c>
      <c r="C26" s="2">
        <f>Product_Data!G26</f>
        <v/>
      </c>
      <c r="D26" s="2">
        <f>B26*Parameters!B2</f>
        <v/>
      </c>
      <c r="E26" s="2">
        <f>B26*Parameters!B3</f>
        <v/>
      </c>
      <c r="F26" s="2">
        <f>B26*Parameters!B4</f>
        <v/>
      </c>
      <c r="G26" s="2">
        <f>Product_Data!H26</f>
        <v/>
      </c>
      <c r="H26" s="2">
        <f>Parameters!B5</f>
        <v/>
      </c>
      <c r="I26" s="2">
        <f>Parameters!B6</f>
        <v/>
      </c>
      <c r="J26" s="2">
        <f>Parameters!B7</f>
        <v/>
      </c>
      <c r="K26" s="2">
        <f>Parameters!B8</f>
        <v/>
      </c>
      <c r="L26" s="2">
        <f>C26+D26+F26+G26+H26+I26+J26</f>
        <v/>
      </c>
      <c r="M26" s="2">
        <f>C26+E26+F26+G26+H26+I26+K26</f>
        <v/>
      </c>
      <c r="N26" s="2">
        <f>B26-L26</f>
        <v/>
      </c>
      <c r="O26" s="2">
        <f>B26-M26</f>
        <v/>
      </c>
      <c r="P26" s="2">
        <f>(O26-N26)/ABS(N26)*100</f>
        <v/>
      </c>
      <c r="Q26" s="2">
        <f>N26*Product_Data!F26</f>
        <v/>
      </c>
      <c r="R26" s="2">
        <f>O26*Product_Data!F26</f>
        <v/>
      </c>
    </row>
    <row r="27">
      <c r="A27" t="inlineStr">
        <is>
          <t>Mamaearth AHA BHA Face Serum</t>
        </is>
      </c>
      <c r="B27" s="2">
        <f>Product_Data!D27</f>
        <v/>
      </c>
      <c r="C27" s="2">
        <f>Product_Data!G27</f>
        <v/>
      </c>
      <c r="D27" s="2">
        <f>B27*Parameters!B2</f>
        <v/>
      </c>
      <c r="E27" s="2">
        <f>B27*Parameters!B3</f>
        <v/>
      </c>
      <c r="F27" s="2">
        <f>B27*Parameters!B4</f>
        <v/>
      </c>
      <c r="G27" s="2">
        <f>Product_Data!H27</f>
        <v/>
      </c>
      <c r="H27" s="2">
        <f>Parameters!B5</f>
        <v/>
      </c>
      <c r="I27" s="2">
        <f>Parameters!B6</f>
        <v/>
      </c>
      <c r="J27" s="2">
        <f>Parameters!B7</f>
        <v/>
      </c>
      <c r="K27" s="2">
        <f>Parameters!B8</f>
        <v/>
      </c>
      <c r="L27" s="2">
        <f>C27+D27+F27+G27+H27+I27+J27</f>
        <v/>
      </c>
      <c r="M27" s="2">
        <f>C27+E27+F27+G27+H27+I27+K27</f>
        <v/>
      </c>
      <c r="N27" s="2">
        <f>B27-L27</f>
        <v/>
      </c>
      <c r="O27" s="2">
        <f>B27-M27</f>
        <v/>
      </c>
      <c r="P27" s="2">
        <f>(O27-N27)/ABS(N27)*100</f>
        <v/>
      </c>
      <c r="Q27" s="2">
        <f>N27*Product_Data!F27</f>
        <v/>
      </c>
      <c r="R27" s="2">
        <f>O27*Product_Data!F27</f>
        <v/>
      </c>
    </row>
    <row r="28">
      <c r="A28" t="inlineStr">
        <is>
          <t>Mamaearth Rice Face Scrub</t>
        </is>
      </c>
      <c r="B28" s="2">
        <f>Product_Data!D28</f>
        <v/>
      </c>
      <c r="C28" s="2">
        <f>Product_Data!G28</f>
        <v/>
      </c>
      <c r="D28" s="2">
        <f>B28*Parameters!B2</f>
        <v/>
      </c>
      <c r="E28" s="2">
        <f>B28*Parameters!B3</f>
        <v/>
      </c>
      <c r="F28" s="2">
        <f>B28*Parameters!B4</f>
        <v/>
      </c>
      <c r="G28" s="2">
        <f>Product_Data!H28</f>
        <v/>
      </c>
      <c r="H28" s="2">
        <f>Parameters!B5</f>
        <v/>
      </c>
      <c r="I28" s="2">
        <f>Parameters!B6</f>
        <v/>
      </c>
      <c r="J28" s="2">
        <f>Parameters!B7</f>
        <v/>
      </c>
      <c r="K28" s="2">
        <f>Parameters!B8</f>
        <v/>
      </c>
      <c r="L28" s="2">
        <f>C28+D28+F28+G28+H28+I28+J28</f>
        <v/>
      </c>
      <c r="M28" s="2">
        <f>C28+E28+F28+G28+H28+I28+K28</f>
        <v/>
      </c>
      <c r="N28" s="2">
        <f>B28-L28</f>
        <v/>
      </c>
      <c r="O28" s="2">
        <f>B28-M28</f>
        <v/>
      </c>
      <c r="P28" s="2">
        <f>(O28-N28)/ABS(N28)*100</f>
        <v/>
      </c>
      <c r="Q28" s="2">
        <f>N28*Product_Data!F28</f>
        <v/>
      </c>
      <c r="R28" s="2">
        <f>O28*Product_Data!F28</f>
        <v/>
      </c>
    </row>
    <row r="29">
      <c r="A29" t="inlineStr">
        <is>
          <t>Mamaearth Ubtan Face Scrub</t>
        </is>
      </c>
      <c r="B29" s="2">
        <f>Product_Data!D29</f>
        <v/>
      </c>
      <c r="C29" s="2">
        <f>Product_Data!G29</f>
        <v/>
      </c>
      <c r="D29" s="2">
        <f>B29*Parameters!B2</f>
        <v/>
      </c>
      <c r="E29" s="2">
        <f>B29*Parameters!B3</f>
        <v/>
      </c>
      <c r="F29" s="2">
        <f>B29*Parameters!B4</f>
        <v/>
      </c>
      <c r="G29" s="2">
        <f>Product_Data!H29</f>
        <v/>
      </c>
      <c r="H29" s="2">
        <f>Parameters!B5</f>
        <v/>
      </c>
      <c r="I29" s="2">
        <f>Parameters!B6</f>
        <v/>
      </c>
      <c r="J29" s="2">
        <f>Parameters!B7</f>
        <v/>
      </c>
      <c r="K29" s="2">
        <f>Parameters!B8</f>
        <v/>
      </c>
      <c r="L29" s="2">
        <f>C29+D29+F29+G29+H29+I29+J29</f>
        <v/>
      </c>
      <c r="M29" s="2">
        <f>C29+E29+F29+G29+H29+I29+K29</f>
        <v/>
      </c>
      <c r="N29" s="2">
        <f>B29-L29</f>
        <v/>
      </c>
      <c r="O29" s="2">
        <f>B29-M29</f>
        <v/>
      </c>
      <c r="P29" s="2">
        <f>(O29-N29)/ABS(N29)*100</f>
        <v/>
      </c>
      <c r="Q29" s="2">
        <f>N29*Product_Data!F29</f>
        <v/>
      </c>
      <c r="R29" s="2">
        <f>O29*Product_Data!F29</f>
        <v/>
      </c>
    </row>
    <row r="30">
      <c r="A30" t="inlineStr">
        <is>
          <t>Mamaearth Charcoal Face Mask</t>
        </is>
      </c>
      <c r="B30" s="2">
        <f>Product_Data!D30</f>
        <v/>
      </c>
      <c r="C30" s="2">
        <f>Product_Data!G30</f>
        <v/>
      </c>
      <c r="D30" s="2">
        <f>B30*Parameters!B2</f>
        <v/>
      </c>
      <c r="E30" s="2">
        <f>B30*Parameters!B3</f>
        <v/>
      </c>
      <c r="F30" s="2">
        <f>B30*Parameters!B4</f>
        <v/>
      </c>
      <c r="G30" s="2">
        <f>Product_Data!H30</f>
        <v/>
      </c>
      <c r="H30" s="2">
        <f>Parameters!B5</f>
        <v/>
      </c>
      <c r="I30" s="2">
        <f>Parameters!B6</f>
        <v/>
      </c>
      <c r="J30" s="2">
        <f>Parameters!B7</f>
        <v/>
      </c>
      <c r="K30" s="2">
        <f>Parameters!B8</f>
        <v/>
      </c>
      <c r="L30" s="2">
        <f>C30+D30+F30+G30+H30+I30+J30</f>
        <v/>
      </c>
      <c r="M30" s="2">
        <f>C30+E30+F30+G30+H30+I30+K30</f>
        <v/>
      </c>
      <c r="N30" s="2">
        <f>B30-L30</f>
        <v/>
      </c>
      <c r="O30" s="2">
        <f>B30-M30</f>
        <v/>
      </c>
      <c r="P30" s="2">
        <f>(O30-N30)/ABS(N30)*100</f>
        <v/>
      </c>
      <c r="Q30" s="2">
        <f>N30*Product_Data!F30</f>
        <v/>
      </c>
      <c r="R30" s="2">
        <f>O30*Product_Data!F30</f>
        <v/>
      </c>
    </row>
    <row r="31">
      <c r="A31" t="inlineStr">
        <is>
          <t>Mamaearth Vitamin C Face Mask</t>
        </is>
      </c>
      <c r="B31" s="2">
        <f>Product_Data!D31</f>
        <v/>
      </c>
      <c r="C31" s="2">
        <f>Product_Data!G31</f>
        <v/>
      </c>
      <c r="D31" s="2">
        <f>B31*Parameters!B2</f>
        <v/>
      </c>
      <c r="E31" s="2">
        <f>B31*Parameters!B3</f>
        <v/>
      </c>
      <c r="F31" s="2">
        <f>B31*Parameters!B4</f>
        <v/>
      </c>
      <c r="G31" s="2">
        <f>Product_Data!H31</f>
        <v/>
      </c>
      <c r="H31" s="2">
        <f>Parameters!B5</f>
        <v/>
      </c>
      <c r="I31" s="2">
        <f>Parameters!B6</f>
        <v/>
      </c>
      <c r="J31" s="2">
        <f>Parameters!B7</f>
        <v/>
      </c>
      <c r="K31" s="2">
        <f>Parameters!B8</f>
        <v/>
      </c>
      <c r="L31" s="2">
        <f>C31+D31+F31+G31+H31+I31+J31</f>
        <v/>
      </c>
      <c r="M31" s="2">
        <f>C31+E31+F31+G31+H31+I31+K31</f>
        <v/>
      </c>
      <c r="N31" s="2">
        <f>B31-L31</f>
        <v/>
      </c>
      <c r="O31" s="2">
        <f>B31-M31</f>
        <v/>
      </c>
      <c r="P31" s="2">
        <f>(O31-N31)/ABS(N31)*100</f>
        <v/>
      </c>
      <c r="Q31" s="2">
        <f>N31*Product_Data!F31</f>
        <v/>
      </c>
      <c r="R31" s="2">
        <f>O31*Product_Data!F31</f>
        <v/>
      </c>
    </row>
    <row r="32">
      <c r="A32" t="inlineStr">
        <is>
          <t>Mamaearth Vitamin C Body Lotion</t>
        </is>
      </c>
      <c r="B32" s="2">
        <f>Product_Data!D32</f>
        <v/>
      </c>
      <c r="C32" s="2">
        <f>Product_Data!G32</f>
        <v/>
      </c>
      <c r="D32" s="2">
        <f>B32*Parameters!B2</f>
        <v/>
      </c>
      <c r="E32" s="2">
        <f>B32*Parameters!B3</f>
        <v/>
      </c>
      <c r="F32" s="2">
        <f>B32*Parameters!B4</f>
        <v/>
      </c>
      <c r="G32" s="2">
        <f>Product_Data!H32</f>
        <v/>
      </c>
      <c r="H32" s="2">
        <f>Parameters!B5</f>
        <v/>
      </c>
      <c r="I32" s="2">
        <f>Parameters!B6</f>
        <v/>
      </c>
      <c r="J32" s="2">
        <f>Parameters!B7</f>
        <v/>
      </c>
      <c r="K32" s="2">
        <f>Parameters!B8</f>
        <v/>
      </c>
      <c r="L32" s="2">
        <f>C32+D32+F32+G32+H32+I32+J32</f>
        <v/>
      </c>
      <c r="M32" s="2">
        <f>C32+E32+F32+G32+H32+I32+K32</f>
        <v/>
      </c>
      <c r="N32" s="2">
        <f>B32-L32</f>
        <v/>
      </c>
      <c r="O32" s="2">
        <f>B32-M32</f>
        <v/>
      </c>
      <c r="P32" s="2">
        <f>(O32-N32)/ABS(N32)*100</f>
        <v/>
      </c>
      <c r="Q32" s="2">
        <f>N32*Product_Data!F32</f>
        <v/>
      </c>
      <c r="R32" s="2">
        <f>O32*Product_Data!F32</f>
        <v/>
      </c>
    </row>
    <row r="33">
      <c r="A33" t="inlineStr">
        <is>
          <t>Mamaearth Ubtan Body Lotion</t>
        </is>
      </c>
      <c r="B33" s="2">
        <f>Product_Data!D33</f>
        <v/>
      </c>
      <c r="C33" s="2">
        <f>Product_Data!G33</f>
        <v/>
      </c>
      <c r="D33" s="2">
        <f>B33*Parameters!B2</f>
        <v/>
      </c>
      <c r="E33" s="2">
        <f>B33*Parameters!B3</f>
        <v/>
      </c>
      <c r="F33" s="2">
        <f>B33*Parameters!B4</f>
        <v/>
      </c>
      <c r="G33" s="2">
        <f>Product_Data!H33</f>
        <v/>
      </c>
      <c r="H33" s="2">
        <f>Parameters!B5</f>
        <v/>
      </c>
      <c r="I33" s="2">
        <f>Parameters!B6</f>
        <v/>
      </c>
      <c r="J33" s="2">
        <f>Parameters!B7</f>
        <v/>
      </c>
      <c r="K33" s="2">
        <f>Parameters!B8</f>
        <v/>
      </c>
      <c r="L33" s="2">
        <f>C33+D33+F33+G33+H33+I33+J33</f>
        <v/>
      </c>
      <c r="M33" s="2">
        <f>C33+E33+F33+G33+H33+I33+K33</f>
        <v/>
      </c>
      <c r="N33" s="2">
        <f>B33-L33</f>
        <v/>
      </c>
      <c r="O33" s="2">
        <f>B33-M33</f>
        <v/>
      </c>
      <c r="P33" s="2">
        <f>(O33-N33)/ABS(N33)*100</f>
        <v/>
      </c>
      <c r="Q33" s="2">
        <f>N33*Product_Data!F33</f>
        <v/>
      </c>
      <c r="R33" s="2">
        <f>O33*Product_Data!F33</f>
        <v/>
      </c>
    </row>
    <row r="34">
      <c r="A34" t="inlineStr">
        <is>
          <t>Mamaearth Cocoa Body Butter</t>
        </is>
      </c>
      <c r="B34" s="2">
        <f>Product_Data!D34</f>
        <v/>
      </c>
      <c r="C34" s="2">
        <f>Product_Data!G34</f>
        <v/>
      </c>
      <c r="D34" s="2">
        <f>B34*Parameters!B2</f>
        <v/>
      </c>
      <c r="E34" s="2">
        <f>B34*Parameters!B3</f>
        <v/>
      </c>
      <c r="F34" s="2">
        <f>B34*Parameters!B4</f>
        <v/>
      </c>
      <c r="G34" s="2">
        <f>Product_Data!H34</f>
        <v/>
      </c>
      <c r="H34" s="2">
        <f>Parameters!B5</f>
        <v/>
      </c>
      <c r="I34" s="2">
        <f>Parameters!B6</f>
        <v/>
      </c>
      <c r="J34" s="2">
        <f>Parameters!B7</f>
        <v/>
      </c>
      <c r="K34" s="2">
        <f>Parameters!B8</f>
        <v/>
      </c>
      <c r="L34" s="2">
        <f>C34+D34+F34+G34+H34+I34+J34</f>
        <v/>
      </c>
      <c r="M34" s="2">
        <f>C34+E34+F34+G34+H34+I34+K34</f>
        <v/>
      </c>
      <c r="N34" s="2">
        <f>B34-L34</f>
        <v/>
      </c>
      <c r="O34" s="2">
        <f>B34-M34</f>
        <v/>
      </c>
      <c r="P34" s="2">
        <f>(O34-N34)/ABS(N34)*100</f>
        <v/>
      </c>
      <c r="Q34" s="2">
        <f>N34*Product_Data!F34</f>
        <v/>
      </c>
      <c r="R34" s="2">
        <f>O34*Product_Data!F34</f>
        <v/>
      </c>
    </row>
    <row r="35">
      <c r="A35" t="inlineStr">
        <is>
          <t>Mamaearth Tea Tree Body Wash</t>
        </is>
      </c>
      <c r="B35" s="2">
        <f>Product_Data!D35</f>
        <v/>
      </c>
      <c r="C35" s="2">
        <f>Product_Data!G35</f>
        <v/>
      </c>
      <c r="D35" s="2">
        <f>B35*Parameters!B2</f>
        <v/>
      </c>
      <c r="E35" s="2">
        <f>B35*Parameters!B3</f>
        <v/>
      </c>
      <c r="F35" s="2">
        <f>B35*Parameters!B4</f>
        <v/>
      </c>
      <c r="G35" s="2">
        <f>Product_Data!H35</f>
        <v/>
      </c>
      <c r="H35" s="2">
        <f>Parameters!B5</f>
        <v/>
      </c>
      <c r="I35" s="2">
        <f>Parameters!B6</f>
        <v/>
      </c>
      <c r="J35" s="2">
        <f>Parameters!B7</f>
        <v/>
      </c>
      <c r="K35" s="2">
        <f>Parameters!B8</f>
        <v/>
      </c>
      <c r="L35" s="2">
        <f>C35+D35+F35+G35+H35+I35+J35</f>
        <v/>
      </c>
      <c r="M35" s="2">
        <f>C35+E35+F35+G35+H35+I35+K35</f>
        <v/>
      </c>
      <c r="N35" s="2">
        <f>B35-L35</f>
        <v/>
      </c>
      <c r="O35" s="2">
        <f>B35-M35</f>
        <v/>
      </c>
      <c r="P35" s="2">
        <f>(O35-N35)/ABS(N35)*100</f>
        <v/>
      </c>
      <c r="Q35" s="2">
        <f>N35*Product_Data!F35</f>
        <v/>
      </c>
      <c r="R35" s="2">
        <f>O35*Product_Data!F35</f>
        <v/>
      </c>
    </row>
    <row r="36">
      <c r="A36" t="inlineStr">
        <is>
          <t>Mamaearth Baby Shampoo</t>
        </is>
      </c>
      <c r="B36" s="2">
        <f>Product_Data!D36</f>
        <v/>
      </c>
      <c r="C36" s="2">
        <f>Product_Data!G36</f>
        <v/>
      </c>
      <c r="D36" s="2">
        <f>B36*Parameters!B2</f>
        <v/>
      </c>
      <c r="E36" s="2">
        <f>B36*Parameters!B3</f>
        <v/>
      </c>
      <c r="F36" s="2">
        <f>B36*Parameters!B4</f>
        <v/>
      </c>
      <c r="G36" s="2">
        <f>Product_Data!H36</f>
        <v/>
      </c>
      <c r="H36" s="2">
        <f>Parameters!B5</f>
        <v/>
      </c>
      <c r="I36" s="2">
        <f>Parameters!B6</f>
        <v/>
      </c>
      <c r="J36" s="2">
        <f>Parameters!B7</f>
        <v/>
      </c>
      <c r="K36" s="2">
        <f>Parameters!B8</f>
        <v/>
      </c>
      <c r="L36" s="2">
        <f>C36+D36+F36+G36+H36+I36+J36</f>
        <v/>
      </c>
      <c r="M36" s="2">
        <f>C36+E36+F36+G36+H36+I36+K36</f>
        <v/>
      </c>
      <c r="N36" s="2">
        <f>B36-L36</f>
        <v/>
      </c>
      <c r="O36" s="2">
        <f>B36-M36</f>
        <v/>
      </c>
      <c r="P36" s="2">
        <f>(O36-N36)/ABS(N36)*100</f>
        <v/>
      </c>
      <c r="Q36" s="2">
        <f>N36*Product_Data!F36</f>
        <v/>
      </c>
      <c r="R36" s="2">
        <f>O36*Product_Data!F36</f>
        <v/>
      </c>
    </row>
    <row r="37">
      <c r="A37" t="inlineStr">
        <is>
          <t>Mamaearth Baby Lotion</t>
        </is>
      </c>
      <c r="B37" s="2">
        <f>Product_Data!D37</f>
        <v/>
      </c>
      <c r="C37" s="2">
        <f>Product_Data!G37</f>
        <v/>
      </c>
      <c r="D37" s="2">
        <f>B37*Parameters!B2</f>
        <v/>
      </c>
      <c r="E37" s="2">
        <f>B37*Parameters!B3</f>
        <v/>
      </c>
      <c r="F37" s="2">
        <f>B37*Parameters!B4</f>
        <v/>
      </c>
      <c r="G37" s="2">
        <f>Product_Data!H37</f>
        <v/>
      </c>
      <c r="H37" s="2">
        <f>Parameters!B5</f>
        <v/>
      </c>
      <c r="I37" s="2">
        <f>Parameters!B6</f>
        <v/>
      </c>
      <c r="J37" s="2">
        <f>Parameters!B7</f>
        <v/>
      </c>
      <c r="K37" s="2">
        <f>Parameters!B8</f>
        <v/>
      </c>
      <c r="L37" s="2">
        <f>C37+D37+F37+G37+H37+I37+J37</f>
        <v/>
      </c>
      <c r="M37" s="2">
        <f>C37+E37+F37+G37+H37+I37+K37</f>
        <v/>
      </c>
      <c r="N37" s="2">
        <f>B37-L37</f>
        <v/>
      </c>
      <c r="O37" s="2">
        <f>B37-M37</f>
        <v/>
      </c>
      <c r="P37" s="2">
        <f>(O37-N37)/ABS(N37)*100</f>
        <v/>
      </c>
      <c r="Q37" s="2">
        <f>N37*Product_Data!F37</f>
        <v/>
      </c>
      <c r="R37" s="2">
        <f>O37*Product_Data!F37</f>
        <v/>
      </c>
    </row>
    <row r="38">
      <c r="A38" t="inlineStr">
        <is>
          <t>Mamaearth Baby Soap</t>
        </is>
      </c>
      <c r="B38" s="2">
        <f>Product_Data!D38</f>
        <v/>
      </c>
      <c r="C38" s="2">
        <f>Product_Data!G38</f>
        <v/>
      </c>
      <c r="D38" s="2">
        <f>B38*Parameters!B2</f>
        <v/>
      </c>
      <c r="E38" s="2">
        <f>B38*Parameters!B3</f>
        <v/>
      </c>
      <c r="F38" s="2">
        <f>B38*Parameters!B4</f>
        <v/>
      </c>
      <c r="G38" s="2">
        <f>Product_Data!H38</f>
        <v/>
      </c>
      <c r="H38" s="2">
        <f>Parameters!B5</f>
        <v/>
      </c>
      <c r="I38" s="2">
        <f>Parameters!B6</f>
        <v/>
      </c>
      <c r="J38" s="2">
        <f>Parameters!B7</f>
        <v/>
      </c>
      <c r="K38" s="2">
        <f>Parameters!B8</f>
        <v/>
      </c>
      <c r="L38" s="2">
        <f>C38+D38+F38+G38+H38+I38+J38</f>
        <v/>
      </c>
      <c r="M38" s="2">
        <f>C38+E38+F38+G38+H38+I38+K38</f>
        <v/>
      </c>
      <c r="N38" s="2">
        <f>B38-L38</f>
        <v/>
      </c>
      <c r="O38" s="2">
        <f>B38-M38</f>
        <v/>
      </c>
      <c r="P38" s="2">
        <f>(O38-N38)/ABS(N38)*100</f>
        <v/>
      </c>
      <c r="Q38" s="2">
        <f>N38*Product_Data!F38</f>
        <v/>
      </c>
      <c r="R38" s="2">
        <f>O38*Product_Data!F38</f>
        <v/>
      </c>
    </row>
    <row r="39">
      <c r="A39" t="inlineStr">
        <is>
          <t>Mamaearth Lip Balm</t>
        </is>
      </c>
      <c r="B39" s="2">
        <f>Product_Data!D39</f>
        <v/>
      </c>
      <c r="C39" s="2">
        <f>Product_Data!G39</f>
        <v/>
      </c>
      <c r="D39" s="2">
        <f>B39*Parameters!B2</f>
        <v/>
      </c>
      <c r="E39" s="2">
        <f>B39*Parameters!B3</f>
        <v/>
      </c>
      <c r="F39" s="2">
        <f>B39*Parameters!B4</f>
        <v/>
      </c>
      <c r="G39" s="2">
        <f>Product_Data!H39</f>
        <v/>
      </c>
      <c r="H39" s="2">
        <f>Parameters!B5</f>
        <v/>
      </c>
      <c r="I39" s="2">
        <f>Parameters!B6</f>
        <v/>
      </c>
      <c r="J39" s="2">
        <f>Parameters!B7</f>
        <v/>
      </c>
      <c r="K39" s="2">
        <f>Parameters!B8</f>
        <v/>
      </c>
      <c r="L39" s="2">
        <f>C39+D39+F39+G39+H39+I39+J39</f>
        <v/>
      </c>
      <c r="M39" s="2">
        <f>C39+E39+F39+G39+H39+I39+K39</f>
        <v/>
      </c>
      <c r="N39" s="2">
        <f>B39-L39</f>
        <v/>
      </c>
      <c r="O39" s="2">
        <f>B39-M39</f>
        <v/>
      </c>
      <c r="P39" s="2">
        <f>(O39-N39)/ABS(N39)*100</f>
        <v/>
      </c>
      <c r="Q39" s="2">
        <f>N39*Product_Data!F39</f>
        <v/>
      </c>
      <c r="R39" s="2">
        <f>O39*Product_Data!F39</f>
        <v/>
      </c>
    </row>
    <row r="40">
      <c r="A40" t="inlineStr">
        <is>
          <t>Mamaearth Tinted Lip Balm</t>
        </is>
      </c>
      <c r="B40" s="2">
        <f>Product_Data!D40</f>
        <v/>
      </c>
      <c r="C40" s="2">
        <f>Product_Data!G40</f>
        <v/>
      </c>
      <c r="D40" s="2">
        <f>B40*Parameters!B2</f>
        <v/>
      </c>
      <c r="E40" s="2">
        <f>B40*Parameters!B3</f>
        <v/>
      </c>
      <c r="F40" s="2">
        <f>B40*Parameters!B4</f>
        <v/>
      </c>
      <c r="G40" s="2">
        <f>Product_Data!H40</f>
        <v/>
      </c>
      <c r="H40" s="2">
        <f>Parameters!B5</f>
        <v/>
      </c>
      <c r="I40" s="2">
        <f>Parameters!B6</f>
        <v/>
      </c>
      <c r="J40" s="2">
        <f>Parameters!B7</f>
        <v/>
      </c>
      <c r="K40" s="2">
        <f>Parameters!B8</f>
        <v/>
      </c>
      <c r="L40" s="2">
        <f>C40+D40+F40+G40+H40+I40+J40</f>
        <v/>
      </c>
      <c r="M40" s="2">
        <f>C40+E40+F40+G40+H40+I40+K40</f>
        <v/>
      </c>
      <c r="N40" s="2">
        <f>B40-L40</f>
        <v/>
      </c>
      <c r="O40" s="2">
        <f>B40-M40</f>
        <v/>
      </c>
      <c r="P40" s="2">
        <f>(O40-N40)/ABS(N40)*100</f>
        <v/>
      </c>
      <c r="Q40" s="2">
        <f>N40*Product_Data!F40</f>
        <v/>
      </c>
      <c r="R40" s="2">
        <f>O40*Product_Data!F40</f>
        <v/>
      </c>
    </row>
    <row r="41">
      <c r="A41" t="inlineStr">
        <is>
          <t>Mamaearth Under Eye Cream</t>
        </is>
      </c>
      <c r="B41" s="2">
        <f>Product_Data!D41</f>
        <v/>
      </c>
      <c r="C41" s="2">
        <f>Product_Data!G41</f>
        <v/>
      </c>
      <c r="D41" s="2">
        <f>B41*Parameters!B2</f>
        <v/>
      </c>
      <c r="E41" s="2">
        <f>B41*Parameters!B3</f>
        <v/>
      </c>
      <c r="F41" s="2">
        <f>B41*Parameters!B4</f>
        <v/>
      </c>
      <c r="G41" s="2">
        <f>Product_Data!H41</f>
        <v/>
      </c>
      <c r="H41" s="2">
        <f>Parameters!B5</f>
        <v/>
      </c>
      <c r="I41" s="2">
        <f>Parameters!B6</f>
        <v/>
      </c>
      <c r="J41" s="2">
        <f>Parameters!B7</f>
        <v/>
      </c>
      <c r="K41" s="2">
        <f>Parameters!B8</f>
        <v/>
      </c>
      <c r="L41" s="2">
        <f>C41+D41+F41+G41+H41+I41+J41</f>
        <v/>
      </c>
      <c r="M41" s="2">
        <f>C41+E41+F41+G41+H41+I41+K41</f>
        <v/>
      </c>
      <c r="N41" s="2">
        <f>B41-L41</f>
        <v/>
      </c>
      <c r="O41" s="2">
        <f>B41-M41</f>
        <v/>
      </c>
      <c r="P41" s="2">
        <f>(O41-N41)/ABS(N41)*100</f>
        <v/>
      </c>
      <c r="Q41" s="2">
        <f>N41*Product_Data!F41</f>
        <v/>
      </c>
      <c r="R41" s="2">
        <f>O41*Product_Data!F41</f>
        <v/>
      </c>
    </row>
    <row r="42">
      <c r="A42" t="inlineStr">
        <is>
          <t>Mamaearth Kajal</t>
        </is>
      </c>
      <c r="B42" s="2">
        <f>Product_Data!D42</f>
        <v/>
      </c>
      <c r="C42" s="2">
        <f>Product_Data!G42</f>
        <v/>
      </c>
      <c r="D42" s="2">
        <f>B42*Parameters!B2</f>
        <v/>
      </c>
      <c r="E42" s="2">
        <f>B42*Parameters!B3</f>
        <v/>
      </c>
      <c r="F42" s="2">
        <f>B42*Parameters!B4</f>
        <v/>
      </c>
      <c r="G42" s="2">
        <f>Product_Data!H42</f>
        <v/>
      </c>
      <c r="H42" s="2">
        <f>Parameters!B5</f>
        <v/>
      </c>
      <c r="I42" s="2">
        <f>Parameters!B6</f>
        <v/>
      </c>
      <c r="J42" s="2">
        <f>Parameters!B7</f>
        <v/>
      </c>
      <c r="K42" s="2">
        <f>Parameters!B8</f>
        <v/>
      </c>
      <c r="L42" s="2">
        <f>C42+D42+F42+G42+H42+I42+J42</f>
        <v/>
      </c>
      <c r="M42" s="2">
        <f>C42+E42+F42+G42+H42+I42+K42</f>
        <v/>
      </c>
      <c r="N42" s="2">
        <f>B42-L42</f>
        <v/>
      </c>
      <c r="O42" s="2">
        <f>B42-M42</f>
        <v/>
      </c>
      <c r="P42" s="2">
        <f>(O42-N42)/ABS(N42)*100</f>
        <v/>
      </c>
      <c r="Q42" s="2">
        <f>N42*Product_Data!F42</f>
        <v/>
      </c>
      <c r="R42" s="2">
        <f>O42*Product_Data!F42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Onion Shampoo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Onion Conditioner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Rosemary Hair Growth Oil with Rosemary &amp; Methi Dana for Promoting Hair Growth - 100 ml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Rosemary Shampoo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Argan Hair Mask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Hair Serum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Onion Hair Growth Serum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Vitamin C Face Wash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Ubtan Natural Glow Face Wash with Turmeric &amp; Saffron for Tan Removal – 100 ml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  <row r="16">
      <c r="A16" t="inlineStr">
        <is>
          <t>Tea Tree Pimple Control Face Wash with Tea Tree &amp; Salicylic for Oily &amp; Acne-Prone Skin - 100ml</t>
        </is>
      </c>
      <c r="B16" s="2">
        <f>Unit_Economics!O16</f>
        <v/>
      </c>
      <c r="C16" s="2">
        <f>Parameters!B8*(1+B4)</f>
        <v/>
      </c>
      <c r="D16" s="2">
        <f>Unit_Economics!G16*(1+B5)</f>
        <v/>
      </c>
      <c r="E16" s="2">
        <f>Unit_Economics!B16*Parameters!B3*(1+B6)</f>
        <v/>
      </c>
      <c r="F16" s="2">
        <f>Unit_Economics!C16+E16+Unit_Economics!F16+D16+C16+Parameters!B5+Parameters!B6</f>
        <v/>
      </c>
      <c r="G16" s="2">
        <f>Unit_Economics!B16-F16</f>
        <v/>
      </c>
      <c r="H16" s="2">
        <f>(G16-B16)/ABS(B16)*100</f>
        <v/>
      </c>
    </row>
    <row r="17">
      <c r="A17" t="inlineStr">
        <is>
          <t>Mamaearth Aloe Vera Face Wash</t>
        </is>
      </c>
      <c r="B17" s="2">
        <f>Unit_Economics!O17</f>
        <v/>
      </c>
      <c r="C17" s="2">
        <f>Parameters!B8*(1+B4)</f>
        <v/>
      </c>
      <c r="D17" s="2">
        <f>Unit_Economics!G17*(1+B5)</f>
        <v/>
      </c>
      <c r="E17" s="2">
        <f>Unit_Economics!B17*Parameters!B3*(1+B6)</f>
        <v/>
      </c>
      <c r="F17" s="2">
        <f>Unit_Economics!C17+E17+Unit_Economics!F17+D17+C17+Parameters!B5+Parameters!B6</f>
        <v/>
      </c>
      <c r="G17" s="2">
        <f>Unit_Economics!B17-F17</f>
        <v/>
      </c>
      <c r="H17" s="2">
        <f>(G17-B17)/ABS(B17)*100</f>
        <v/>
      </c>
    </row>
    <row r="18">
      <c r="A18" t="inlineStr">
        <is>
          <t>Rice Dewy Bright Face Wash With Rice Water &amp; Niacinamide for Glass Skin - 200 ml</t>
        </is>
      </c>
      <c r="B18" s="2">
        <f>Unit_Economics!O18</f>
        <v/>
      </c>
      <c r="C18" s="2">
        <f>Parameters!B8*(1+B4)</f>
        <v/>
      </c>
      <c r="D18" s="2">
        <f>Unit_Economics!G18*(1+B5)</f>
        <v/>
      </c>
      <c r="E18" s="2">
        <f>Unit_Economics!B18*Parameters!B3*(1+B6)</f>
        <v/>
      </c>
      <c r="F18" s="2">
        <f>Unit_Economics!C18+E18+Unit_Economics!F18+D18+C18+Parameters!B5+Parameters!B6</f>
        <v/>
      </c>
      <c r="G18" s="2">
        <f>Unit_Economics!B18-F18</f>
        <v/>
      </c>
      <c r="H18" s="2">
        <f>(G18-B18)/ABS(B18)*100</f>
        <v/>
      </c>
    </row>
    <row r="19">
      <c r="A19" t="inlineStr">
        <is>
          <t>Mamaearth Charcoal Face Wash</t>
        </is>
      </c>
      <c r="B19" s="2">
        <f>Unit_Economics!O19</f>
        <v/>
      </c>
      <c r="C19" s="2">
        <f>Parameters!B8*(1+B4)</f>
        <v/>
      </c>
      <c r="D19" s="2">
        <f>Unit_Economics!G19*(1+B5)</f>
        <v/>
      </c>
      <c r="E19" s="2">
        <f>Unit_Economics!B19*Parameters!B3*(1+B6)</f>
        <v/>
      </c>
      <c r="F19" s="2">
        <f>Unit_Economics!C19+E19+Unit_Economics!F19+D19+C19+Parameters!B5+Parameters!B6</f>
        <v/>
      </c>
      <c r="G19" s="2">
        <f>Unit_Economics!B19-F19</f>
        <v/>
      </c>
      <c r="H19" s="2">
        <f>(G19-B19)/ABS(B19)*100</f>
        <v/>
      </c>
    </row>
    <row r="20">
      <c r="A20" t="inlineStr">
        <is>
          <t>Mamaearth Bye Bye Blemishes Face Wash</t>
        </is>
      </c>
      <c r="B20" s="2">
        <f>Unit_Economics!O20</f>
        <v/>
      </c>
      <c r="C20" s="2">
        <f>Parameters!B8*(1+B4)</f>
        <v/>
      </c>
      <c r="D20" s="2">
        <f>Unit_Economics!G20*(1+B5)</f>
        <v/>
      </c>
      <c r="E20" s="2">
        <f>Unit_Economics!B20*Parameters!B3*(1+B6)</f>
        <v/>
      </c>
      <c r="F20" s="2">
        <f>Unit_Economics!C20+E20+Unit_Economics!F20+D20+C20+Parameters!B5+Parameters!B6</f>
        <v/>
      </c>
      <c r="G20" s="2">
        <f>Unit_Economics!B20-F20</f>
        <v/>
      </c>
      <c r="H20" s="2">
        <f>(G20-B20)/ABS(B20)*100</f>
        <v/>
      </c>
    </row>
    <row r="21">
      <c r="A21" t="inlineStr">
        <is>
          <t>Vitamin C Daily Glow Face Cream With Vitamin C &amp; Turmeric for Skin Illumination - 80 g</t>
        </is>
      </c>
      <c r="B21" s="2">
        <f>Unit_Economics!O21</f>
        <v/>
      </c>
      <c r="C21" s="2">
        <f>Parameters!B8*(1+B4)</f>
        <v/>
      </c>
      <c r="D21" s="2">
        <f>Unit_Economics!G21*(1+B5)</f>
        <v/>
      </c>
      <c r="E21" s="2">
        <f>Unit_Economics!B21*Parameters!B3*(1+B6)</f>
        <v/>
      </c>
      <c r="F21" s="2">
        <f>Unit_Economics!C21+E21+Unit_Economics!F21+D21+C21+Parameters!B5+Parameters!B6</f>
        <v/>
      </c>
      <c r="G21" s="2">
        <f>Unit_Economics!B21-F21</f>
        <v/>
      </c>
      <c r="H21" s="2">
        <f>(G21-B21)/ABS(B21)*100</f>
        <v/>
      </c>
    </row>
    <row r="22">
      <c r="A22" t="inlineStr">
        <is>
          <t>Mamaearth Ubtan Face Cream</t>
        </is>
      </c>
      <c r="B22" s="2">
        <f>Unit_Economics!O22</f>
        <v/>
      </c>
      <c r="C22" s="2">
        <f>Parameters!B8*(1+B4)</f>
        <v/>
      </c>
      <c r="D22" s="2">
        <f>Unit_Economics!G22*(1+B5)</f>
        <v/>
      </c>
      <c r="E22" s="2">
        <f>Unit_Economics!B22*Parameters!B3*(1+B6)</f>
        <v/>
      </c>
      <c r="F22" s="2">
        <f>Unit_Economics!C22+E22+Unit_Economics!F22+D22+C22+Parameters!B5+Parameters!B6</f>
        <v/>
      </c>
      <c r="G22" s="2">
        <f>Unit_Economics!B22-F22</f>
        <v/>
      </c>
      <c r="H22" s="2">
        <f>(G22-B22)/ABS(B22)*100</f>
        <v/>
      </c>
    </row>
    <row r="23">
      <c r="A23" t="inlineStr">
        <is>
          <t>Mamaearth Vitamin C Night Cream</t>
        </is>
      </c>
      <c r="B23" s="2">
        <f>Unit_Economics!O23</f>
        <v/>
      </c>
      <c r="C23" s="2">
        <f>Parameters!B8*(1+B4)</f>
        <v/>
      </c>
      <c r="D23" s="2">
        <f>Unit_Economics!G23*(1+B5)</f>
        <v/>
      </c>
      <c r="E23" s="2">
        <f>Unit_Economics!B23*Parameters!B3*(1+B6)</f>
        <v/>
      </c>
      <c r="F23" s="2">
        <f>Unit_Economics!C23+E23+Unit_Economics!F23+D23+C23+Parameters!B5+Parameters!B6</f>
        <v/>
      </c>
      <c r="G23" s="2">
        <f>Unit_Economics!B23-F23</f>
        <v/>
      </c>
      <c r="H23" s="2">
        <f>(G23-B23)/ABS(B23)*100</f>
        <v/>
      </c>
    </row>
    <row r="24">
      <c r="A24" t="inlineStr">
        <is>
          <t>Mamaearth Aqua Glow Face Cream</t>
        </is>
      </c>
      <c r="B24" s="2">
        <f>Unit_Economics!O24</f>
        <v/>
      </c>
      <c r="C24" s="2">
        <f>Parameters!B8*(1+B4)</f>
        <v/>
      </c>
      <c r="D24" s="2">
        <f>Unit_Economics!G24*(1+B5)</f>
        <v/>
      </c>
      <c r="E24" s="2">
        <f>Unit_Economics!B24*Parameters!B3*(1+B6)</f>
        <v/>
      </c>
      <c r="F24" s="2">
        <f>Unit_Economics!C24+E24+Unit_Economics!F24+D24+C24+Parameters!B5+Parameters!B6</f>
        <v/>
      </c>
      <c r="G24" s="2">
        <f>Unit_Economics!B24-F24</f>
        <v/>
      </c>
      <c r="H24" s="2">
        <f>(G24-B24)/ABS(B24)*100</f>
        <v/>
      </c>
    </row>
    <row r="25">
      <c r="A25" t="inlineStr">
        <is>
          <t>Mamaearth Honey Oats Face Cream</t>
        </is>
      </c>
      <c r="B25" s="2">
        <f>Unit_Economics!O25</f>
        <v/>
      </c>
      <c r="C25" s="2">
        <f>Parameters!B8*(1+B4)</f>
        <v/>
      </c>
      <c r="D25" s="2">
        <f>Unit_Economics!G25*(1+B5)</f>
        <v/>
      </c>
      <c r="E25" s="2">
        <f>Unit_Economics!B25*Parameters!B3*(1+B6)</f>
        <v/>
      </c>
      <c r="F25" s="2">
        <f>Unit_Economics!C25+E25+Unit_Economics!F25+D25+C25+Parameters!B5+Parameters!B6</f>
        <v/>
      </c>
      <c r="G25" s="2">
        <f>Unit_Economics!B25-F25</f>
        <v/>
      </c>
      <c r="H25" s="2">
        <f>(G25-B25)/ABS(B25)*100</f>
        <v/>
      </c>
    </row>
    <row r="26">
      <c r="A26" t="inlineStr">
        <is>
          <t>Mamaearth Bye Bye Blemishes Face Cream</t>
        </is>
      </c>
      <c r="B26" s="2">
        <f>Unit_Economics!O26</f>
        <v/>
      </c>
      <c r="C26" s="2">
        <f>Parameters!B8*(1+B4)</f>
        <v/>
      </c>
      <c r="D26" s="2">
        <f>Unit_Economics!G26*(1+B5)</f>
        <v/>
      </c>
      <c r="E26" s="2">
        <f>Unit_Economics!B26*Parameters!B3*(1+B6)</f>
        <v/>
      </c>
      <c r="F26" s="2">
        <f>Unit_Economics!C26+E26+Unit_Economics!F26+D26+C26+Parameters!B5+Parameters!B6</f>
        <v/>
      </c>
      <c r="G26" s="2">
        <f>Unit_Economics!B26-F26</f>
        <v/>
      </c>
      <c r="H26" s="2">
        <f>(G26-B26)/ABS(B26)*100</f>
        <v/>
      </c>
    </row>
    <row r="27">
      <c r="A27" t="inlineStr">
        <is>
          <t>Mamaearth Vitamin C Face Serum</t>
        </is>
      </c>
      <c r="B27" s="2">
        <f>Unit_Economics!O27</f>
        <v/>
      </c>
      <c r="C27" s="2">
        <f>Parameters!B8*(1+B4)</f>
        <v/>
      </c>
      <c r="D27" s="2">
        <f>Unit_Economics!G27*(1+B5)</f>
        <v/>
      </c>
      <c r="E27" s="2">
        <f>Unit_Economics!B27*Parameters!B3*(1+B6)</f>
        <v/>
      </c>
      <c r="F27" s="2">
        <f>Unit_Economics!C27+E27+Unit_Economics!F27+D27+C27+Parameters!B5+Parameters!B6</f>
        <v/>
      </c>
      <c r="G27" s="2">
        <f>Unit_Economics!B27-F27</f>
        <v/>
      </c>
      <c r="H27" s="2">
        <f>(G27-B27)/ABS(B27)*100</f>
        <v/>
      </c>
    </row>
    <row r="28">
      <c r="A28" t="inlineStr">
        <is>
          <t>Mamaearth Retinol Face Serum</t>
        </is>
      </c>
      <c r="B28" s="2">
        <f>Unit_Economics!O28</f>
        <v/>
      </c>
      <c r="C28" s="2">
        <f>Parameters!B8*(1+B4)</f>
        <v/>
      </c>
      <c r="D28" s="2">
        <f>Unit_Economics!G28*(1+B5)</f>
        <v/>
      </c>
      <c r="E28" s="2">
        <f>Unit_Economics!B28*Parameters!B3*(1+B6)</f>
        <v/>
      </c>
      <c r="F28" s="2">
        <f>Unit_Economics!C28+E28+Unit_Economics!F28+D28+C28+Parameters!B5+Parameters!B6</f>
        <v/>
      </c>
      <c r="G28" s="2">
        <f>Unit_Economics!B28-F28</f>
        <v/>
      </c>
      <c r="H28" s="2">
        <f>(G28-B28)/ABS(B28)*100</f>
        <v/>
      </c>
    </row>
    <row r="29">
      <c r="A29" t="inlineStr">
        <is>
          <t>Mamaearth Niacinamide Face Serum</t>
        </is>
      </c>
      <c r="B29" s="2">
        <f>Unit_Economics!O29</f>
        <v/>
      </c>
      <c r="C29" s="2">
        <f>Parameters!B8*(1+B4)</f>
        <v/>
      </c>
      <c r="D29" s="2">
        <f>Unit_Economics!G29*(1+B5)</f>
        <v/>
      </c>
      <c r="E29" s="2">
        <f>Unit_Economics!B29*Parameters!B3*(1+B6)</f>
        <v/>
      </c>
      <c r="F29" s="2">
        <f>Unit_Economics!C29+E29+Unit_Economics!F29+D29+C29+Parameters!B5+Parameters!B6</f>
        <v/>
      </c>
      <c r="G29" s="2">
        <f>Unit_Economics!B29-F29</f>
        <v/>
      </c>
      <c r="H29" s="2">
        <f>(G29-B29)/ABS(B29)*100</f>
        <v/>
      </c>
    </row>
    <row r="30">
      <c r="A30" t="inlineStr">
        <is>
          <t>Mamaearth Hyaluronic Acid Serum</t>
        </is>
      </c>
      <c r="B30" s="2">
        <f>Unit_Economics!O30</f>
        <v/>
      </c>
      <c r="C30" s="2">
        <f>Parameters!B8*(1+B4)</f>
        <v/>
      </c>
      <c r="D30" s="2">
        <f>Unit_Economics!G30*(1+B5)</f>
        <v/>
      </c>
      <c r="E30" s="2">
        <f>Unit_Economics!B30*Parameters!B3*(1+B6)</f>
        <v/>
      </c>
      <c r="F30" s="2">
        <f>Unit_Economics!C30+E30+Unit_Economics!F30+D30+C30+Parameters!B5+Parameters!B6</f>
        <v/>
      </c>
      <c r="G30" s="2">
        <f>Unit_Economics!B30-F30</f>
        <v/>
      </c>
      <c r="H30" s="2">
        <f>(G30-B30)/ABS(B30)*100</f>
        <v/>
      </c>
    </row>
    <row r="31">
      <c r="A31" t="inlineStr">
        <is>
          <t>Mamaearth AHA BHA Face Serum</t>
        </is>
      </c>
      <c r="B31" s="2">
        <f>Unit_Economics!O31</f>
        <v/>
      </c>
      <c r="C31" s="2">
        <f>Parameters!B8*(1+B4)</f>
        <v/>
      </c>
      <c r="D31" s="2">
        <f>Unit_Economics!G31*(1+B5)</f>
        <v/>
      </c>
      <c r="E31" s="2">
        <f>Unit_Economics!B31*Parameters!B3*(1+B6)</f>
        <v/>
      </c>
      <c r="F31" s="2">
        <f>Unit_Economics!C31+E31+Unit_Economics!F31+D31+C31+Parameters!B5+Parameters!B6</f>
        <v/>
      </c>
      <c r="G31" s="2">
        <f>Unit_Economics!B31-F31</f>
        <v/>
      </c>
      <c r="H31" s="2">
        <f>(G31-B31)/ABS(B31)*100</f>
        <v/>
      </c>
    </row>
    <row r="32">
      <c r="A32" t="inlineStr">
        <is>
          <t>Mamaearth Rice Face Scrub</t>
        </is>
      </c>
      <c r="B32" s="2">
        <f>Unit_Economics!O32</f>
        <v/>
      </c>
      <c r="C32" s="2">
        <f>Parameters!B8*(1+B4)</f>
        <v/>
      </c>
      <c r="D32" s="2">
        <f>Unit_Economics!G32*(1+B5)</f>
        <v/>
      </c>
      <c r="E32" s="2">
        <f>Unit_Economics!B32*Parameters!B3*(1+B6)</f>
        <v/>
      </c>
      <c r="F32" s="2">
        <f>Unit_Economics!C32+E32+Unit_Economics!F32+D32+C32+Parameters!B5+Parameters!B6</f>
        <v/>
      </c>
      <c r="G32" s="2">
        <f>Unit_Economics!B32-F32</f>
        <v/>
      </c>
      <c r="H32" s="2">
        <f>(G32-B32)/ABS(B32)*100</f>
        <v/>
      </c>
    </row>
    <row r="33">
      <c r="A33" t="inlineStr">
        <is>
          <t>Mamaearth Ubtan Face Scrub</t>
        </is>
      </c>
      <c r="B33" s="2">
        <f>Unit_Economics!O33</f>
        <v/>
      </c>
      <c r="C33" s="2">
        <f>Parameters!B8*(1+B4)</f>
        <v/>
      </c>
      <c r="D33" s="2">
        <f>Unit_Economics!G33*(1+B5)</f>
        <v/>
      </c>
      <c r="E33" s="2">
        <f>Unit_Economics!B33*Parameters!B3*(1+B6)</f>
        <v/>
      </c>
      <c r="F33" s="2">
        <f>Unit_Economics!C33+E33+Unit_Economics!F33+D33+C33+Parameters!B5+Parameters!B6</f>
        <v/>
      </c>
      <c r="G33" s="2">
        <f>Unit_Economics!B33-F33</f>
        <v/>
      </c>
      <c r="H33" s="2">
        <f>(G33-B33)/ABS(B33)*100</f>
        <v/>
      </c>
    </row>
    <row r="34">
      <c r="A34" t="inlineStr">
        <is>
          <t>Mamaearth Charcoal Face Mask</t>
        </is>
      </c>
      <c r="B34" s="2">
        <f>Unit_Economics!O34</f>
        <v/>
      </c>
      <c r="C34" s="2">
        <f>Parameters!B8*(1+B4)</f>
        <v/>
      </c>
      <c r="D34" s="2">
        <f>Unit_Economics!G34*(1+B5)</f>
        <v/>
      </c>
      <c r="E34" s="2">
        <f>Unit_Economics!B34*Parameters!B3*(1+B6)</f>
        <v/>
      </c>
      <c r="F34" s="2">
        <f>Unit_Economics!C34+E34+Unit_Economics!F34+D34+C34+Parameters!B5+Parameters!B6</f>
        <v/>
      </c>
      <c r="G34" s="2">
        <f>Unit_Economics!B34-F34</f>
        <v/>
      </c>
      <c r="H34" s="2">
        <f>(G34-B34)/ABS(B34)*100</f>
        <v/>
      </c>
    </row>
    <row r="35">
      <c r="A35" t="inlineStr">
        <is>
          <t>Mamaearth Vitamin C Face Mask</t>
        </is>
      </c>
      <c r="B35" s="2">
        <f>Unit_Economics!O35</f>
        <v/>
      </c>
      <c r="C35" s="2">
        <f>Parameters!B8*(1+B4)</f>
        <v/>
      </c>
      <c r="D35" s="2">
        <f>Unit_Economics!G35*(1+B5)</f>
        <v/>
      </c>
      <c r="E35" s="2">
        <f>Unit_Economics!B35*Parameters!B3*(1+B6)</f>
        <v/>
      </c>
      <c r="F35" s="2">
        <f>Unit_Economics!C35+E35+Unit_Economics!F35+D35+C35+Parameters!B5+Parameters!B6</f>
        <v/>
      </c>
      <c r="G35" s="2">
        <f>Unit_Economics!B35-F35</f>
        <v/>
      </c>
      <c r="H35" s="2">
        <f>(G35-B35)/ABS(B35)*100</f>
        <v/>
      </c>
    </row>
    <row r="36">
      <c r="A36" t="inlineStr">
        <is>
          <t>Mamaearth Vitamin C Body Lotion</t>
        </is>
      </c>
      <c r="B36" s="2">
        <f>Unit_Economics!O36</f>
        <v/>
      </c>
      <c r="C36" s="2">
        <f>Parameters!B8*(1+B4)</f>
        <v/>
      </c>
      <c r="D36" s="2">
        <f>Unit_Economics!G36*(1+B5)</f>
        <v/>
      </c>
      <c r="E36" s="2">
        <f>Unit_Economics!B36*Parameters!B3*(1+B6)</f>
        <v/>
      </c>
      <c r="F36" s="2">
        <f>Unit_Economics!C36+E36+Unit_Economics!F36+D36+C36+Parameters!B5+Parameters!B6</f>
        <v/>
      </c>
      <c r="G36" s="2">
        <f>Unit_Economics!B36-F36</f>
        <v/>
      </c>
      <c r="H36" s="2">
        <f>(G36-B36)/ABS(B36)*100</f>
        <v/>
      </c>
    </row>
    <row r="37">
      <c r="A37" t="inlineStr">
        <is>
          <t>Mamaearth Ubtan Body Lotion</t>
        </is>
      </c>
      <c r="B37" s="2">
        <f>Unit_Economics!O37</f>
        <v/>
      </c>
      <c r="C37" s="2">
        <f>Parameters!B8*(1+B4)</f>
        <v/>
      </c>
      <c r="D37" s="2">
        <f>Unit_Economics!G37*(1+B5)</f>
        <v/>
      </c>
      <c r="E37" s="2">
        <f>Unit_Economics!B37*Parameters!B3*(1+B6)</f>
        <v/>
      </c>
      <c r="F37" s="2">
        <f>Unit_Economics!C37+E37+Unit_Economics!F37+D37+C37+Parameters!B5+Parameters!B6</f>
        <v/>
      </c>
      <c r="G37" s="2">
        <f>Unit_Economics!B37-F37</f>
        <v/>
      </c>
      <c r="H37" s="2">
        <f>(G37-B37)/ABS(B37)*100</f>
        <v/>
      </c>
    </row>
    <row r="38">
      <c r="A38" t="inlineStr">
        <is>
          <t>Mamaearth Cocoa Body Butter</t>
        </is>
      </c>
      <c r="B38" s="2">
        <f>Unit_Economics!O38</f>
        <v/>
      </c>
      <c r="C38" s="2">
        <f>Parameters!B8*(1+B4)</f>
        <v/>
      </c>
      <c r="D38" s="2">
        <f>Unit_Economics!G38*(1+B5)</f>
        <v/>
      </c>
      <c r="E38" s="2">
        <f>Unit_Economics!B38*Parameters!B3*(1+B6)</f>
        <v/>
      </c>
      <c r="F38" s="2">
        <f>Unit_Economics!C38+E38+Unit_Economics!F38+D38+C38+Parameters!B5+Parameters!B6</f>
        <v/>
      </c>
      <c r="G38" s="2">
        <f>Unit_Economics!B38-F38</f>
        <v/>
      </c>
      <c r="H38" s="2">
        <f>(G38-B38)/ABS(B38)*100</f>
        <v/>
      </c>
    </row>
    <row r="39">
      <c r="A39" t="inlineStr">
        <is>
          <t>Mamaearth Tea Tree Body Wash</t>
        </is>
      </c>
      <c r="B39" s="2">
        <f>Unit_Economics!O39</f>
        <v/>
      </c>
      <c r="C39" s="2">
        <f>Parameters!B8*(1+B4)</f>
        <v/>
      </c>
      <c r="D39" s="2">
        <f>Unit_Economics!G39*(1+B5)</f>
        <v/>
      </c>
      <c r="E39" s="2">
        <f>Unit_Economics!B39*Parameters!B3*(1+B6)</f>
        <v/>
      </c>
      <c r="F39" s="2">
        <f>Unit_Economics!C39+E39+Unit_Economics!F39+D39+C39+Parameters!B5+Parameters!B6</f>
        <v/>
      </c>
      <c r="G39" s="2">
        <f>Unit_Economics!B39-F39</f>
        <v/>
      </c>
      <c r="H39" s="2">
        <f>(G39-B39)/ABS(B39)*100</f>
        <v/>
      </c>
    </row>
    <row r="40">
      <c r="A40" t="inlineStr">
        <is>
          <t>Mamaearth Baby Shampoo</t>
        </is>
      </c>
      <c r="B40" s="2">
        <f>Unit_Economics!O40</f>
        <v/>
      </c>
      <c r="C40" s="2">
        <f>Parameters!B8*(1+B4)</f>
        <v/>
      </c>
      <c r="D40" s="2">
        <f>Unit_Economics!G40*(1+B5)</f>
        <v/>
      </c>
      <c r="E40" s="2">
        <f>Unit_Economics!B40*Parameters!B3*(1+B6)</f>
        <v/>
      </c>
      <c r="F40" s="2">
        <f>Unit_Economics!C40+E40+Unit_Economics!F40+D40+C40+Parameters!B5+Parameters!B6</f>
        <v/>
      </c>
      <c r="G40" s="2">
        <f>Unit_Economics!B40-F40</f>
        <v/>
      </c>
      <c r="H40" s="2">
        <f>(G40-B40)/ABS(B40)*100</f>
        <v/>
      </c>
    </row>
    <row r="41">
      <c r="A41" t="inlineStr">
        <is>
          <t>Mamaearth Baby Lotion</t>
        </is>
      </c>
      <c r="B41" s="2">
        <f>Unit_Economics!O41</f>
        <v/>
      </c>
      <c r="C41" s="2">
        <f>Parameters!B8*(1+B4)</f>
        <v/>
      </c>
      <c r="D41" s="2">
        <f>Unit_Economics!G41*(1+B5)</f>
        <v/>
      </c>
      <c r="E41" s="2">
        <f>Unit_Economics!B41*Parameters!B3*(1+B6)</f>
        <v/>
      </c>
      <c r="F41" s="2">
        <f>Unit_Economics!C41+E41+Unit_Economics!F41+D41+C41+Parameters!B5+Parameters!B6</f>
        <v/>
      </c>
      <c r="G41" s="2">
        <f>Unit_Economics!B41-F41</f>
        <v/>
      </c>
      <c r="H41" s="2">
        <f>(G41-B41)/ABS(B41)*100</f>
        <v/>
      </c>
    </row>
    <row r="42">
      <c r="A42" t="inlineStr">
        <is>
          <t>Mamaearth Baby Soap</t>
        </is>
      </c>
      <c r="B42" s="2">
        <f>Unit_Economics!O42</f>
        <v/>
      </c>
      <c r="C42" s="2">
        <f>Parameters!B8*(1+B4)</f>
        <v/>
      </c>
      <c r="D42" s="2">
        <f>Unit_Economics!G42*(1+B5)</f>
        <v/>
      </c>
      <c r="E42" s="2">
        <f>Unit_Economics!B42*Parameters!B3*(1+B6)</f>
        <v/>
      </c>
      <c r="F42" s="2">
        <f>Unit_Economics!C42+E42+Unit_Economics!F42+D42+C42+Parameters!B5+Parameters!B6</f>
        <v/>
      </c>
      <c r="G42" s="2">
        <f>Unit_Economics!B42-F42</f>
        <v/>
      </c>
      <c r="H42" s="2">
        <f>(G42-B42)/ABS(B42)*100</f>
        <v/>
      </c>
    </row>
    <row r="43">
      <c r="A43" t="inlineStr">
        <is>
          <t>Mamaearth Lip Balm</t>
        </is>
      </c>
      <c r="B43" s="2">
        <f>Unit_Economics!O43</f>
        <v/>
      </c>
      <c r="C43" s="2">
        <f>Parameters!B8*(1+B4)</f>
        <v/>
      </c>
      <c r="D43" s="2">
        <f>Unit_Economics!G43*(1+B5)</f>
        <v/>
      </c>
      <c r="E43" s="2">
        <f>Unit_Economics!B43*Parameters!B3*(1+B6)</f>
        <v/>
      </c>
      <c r="F43" s="2">
        <f>Unit_Economics!C43+E43+Unit_Economics!F43+D43+C43+Parameters!B5+Parameters!B6</f>
        <v/>
      </c>
      <c r="G43" s="2">
        <f>Unit_Economics!B43-F43</f>
        <v/>
      </c>
      <c r="H43" s="2">
        <f>(G43-B43)/ABS(B43)*100</f>
        <v/>
      </c>
    </row>
    <row r="44">
      <c r="A44" t="inlineStr">
        <is>
          <t>Mamaearth Tinted Lip Balm</t>
        </is>
      </c>
      <c r="B44" s="2">
        <f>Unit_Economics!O44</f>
        <v/>
      </c>
      <c r="C44" s="2">
        <f>Parameters!B8*(1+B4)</f>
        <v/>
      </c>
      <c r="D44" s="2">
        <f>Unit_Economics!G44*(1+B5)</f>
        <v/>
      </c>
      <c r="E44" s="2">
        <f>Unit_Economics!B44*Parameters!B3*(1+B6)</f>
        <v/>
      </c>
      <c r="F44" s="2">
        <f>Unit_Economics!C44+E44+Unit_Economics!F44+D44+C44+Parameters!B5+Parameters!B6</f>
        <v/>
      </c>
      <c r="G44" s="2">
        <f>Unit_Economics!B44-F44</f>
        <v/>
      </c>
      <c r="H44" s="2">
        <f>(G44-B44)/ABS(B44)*100</f>
        <v/>
      </c>
    </row>
    <row r="45">
      <c r="A45" t="inlineStr">
        <is>
          <t>Mamaearth Under Eye Cream</t>
        </is>
      </c>
      <c r="B45" s="2">
        <f>Unit_Economics!O45</f>
        <v/>
      </c>
      <c r="C45" s="2">
        <f>Parameters!B8*(1+B4)</f>
        <v/>
      </c>
      <c r="D45" s="2">
        <f>Unit_Economics!G45*(1+B5)</f>
        <v/>
      </c>
      <c r="E45" s="2">
        <f>Unit_Economics!B45*Parameters!B3*(1+B6)</f>
        <v/>
      </c>
      <c r="F45" s="2">
        <f>Unit_Economics!C45+E45+Unit_Economics!F45+D45+C45+Parameters!B5+Parameters!B6</f>
        <v/>
      </c>
      <c r="G45" s="2">
        <f>Unit_Economics!B45-F45</f>
        <v/>
      </c>
      <c r="H45" s="2">
        <f>(G45-B45)/ABS(B45)*100</f>
        <v/>
      </c>
    </row>
    <row r="46">
      <c r="A46" t="inlineStr">
        <is>
          <t>Mamaearth Kajal</t>
        </is>
      </c>
      <c r="B46" s="2">
        <f>Unit_Economics!O46</f>
        <v/>
      </c>
      <c r="C46" s="2">
        <f>Parameters!B8*(1+B4)</f>
        <v/>
      </c>
      <c r="D46" s="2">
        <f>Unit_Economics!G46*(1+B5)</f>
        <v/>
      </c>
      <c r="E46" s="2">
        <f>Unit_Economics!B46*Parameters!B3*(1+B6)</f>
        <v/>
      </c>
      <c r="F46" s="2">
        <f>Unit_Economics!C46+E46+Unit_Economics!F46+D46+C46+Parameters!B5+Parameters!B6</f>
        <v/>
      </c>
      <c r="G46" s="2">
        <f>Unit_Economics!B46-F46</f>
        <v/>
      </c>
      <c r="H46" s="2">
        <f>(G46-B46)/ABS(B46)*100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Onion Shampoo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Onion Conditioner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Rosemary Hair Growth Oil with Rosemary &amp; Methi Dana for Promoting Hair Growth - 100 ml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Rosemary Shampoo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Argan Hair Mask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Hair Serum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Onion Hair Growth Serum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Vitamin C Face Wash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Ubtan Natural Glow Face Wash with Turmeric &amp; Saffron for Tan Removal – 100 ml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  <row r="14">
      <c r="A14" t="inlineStr">
        <is>
          <t>Tea Tree Pimple Control Face Wash with Tea Tree &amp; Salicylic for Oily &amp; Acne-Prone Skin - 100ml</t>
        </is>
      </c>
      <c r="B14" s="2">
        <f>Unit_Economics!B14</f>
        <v/>
      </c>
      <c r="C14" s="2">
        <f>Unit_Economics!M14</f>
        <v/>
      </c>
      <c r="D14" s="2">
        <f>B14-C14</f>
        <v/>
      </c>
      <c r="E14" s="2">
        <f>IF(D14&gt;0, B1/D14, 0)</f>
        <v/>
      </c>
      <c r="F14" s="2">
        <f>E14*B14</f>
        <v/>
      </c>
    </row>
    <row r="15">
      <c r="A15" t="inlineStr">
        <is>
          <t>Mamaearth Aloe Vera Face Wash</t>
        </is>
      </c>
      <c r="B15" s="2">
        <f>Unit_Economics!B15</f>
        <v/>
      </c>
      <c r="C15" s="2">
        <f>Unit_Economics!M15</f>
        <v/>
      </c>
      <c r="D15" s="2">
        <f>B15-C15</f>
        <v/>
      </c>
      <c r="E15" s="2">
        <f>IF(D15&gt;0, B1/D15, 0)</f>
        <v/>
      </c>
      <c r="F15" s="2">
        <f>E15*B15</f>
        <v/>
      </c>
    </row>
    <row r="16">
      <c r="A16" t="inlineStr">
        <is>
          <t>Rice Dewy Bright Face Wash With Rice Water &amp; Niacinamide for Glass Skin - 200 ml</t>
        </is>
      </c>
      <c r="B16" s="2">
        <f>Unit_Economics!B16</f>
        <v/>
      </c>
      <c r="C16" s="2">
        <f>Unit_Economics!M16</f>
        <v/>
      </c>
      <c r="D16" s="2">
        <f>B16-C16</f>
        <v/>
      </c>
      <c r="E16" s="2">
        <f>IF(D16&gt;0, B1/D16, 0)</f>
        <v/>
      </c>
      <c r="F16" s="2">
        <f>E16*B16</f>
        <v/>
      </c>
    </row>
    <row r="17">
      <c r="A17" t="inlineStr">
        <is>
          <t>Mamaearth Charcoal Face Wash</t>
        </is>
      </c>
      <c r="B17" s="2">
        <f>Unit_Economics!B17</f>
        <v/>
      </c>
      <c r="C17" s="2">
        <f>Unit_Economics!M17</f>
        <v/>
      </c>
      <c r="D17" s="2">
        <f>B17-C17</f>
        <v/>
      </c>
      <c r="E17" s="2">
        <f>IF(D17&gt;0, B1/D17, 0)</f>
        <v/>
      </c>
      <c r="F17" s="2">
        <f>E17*B17</f>
        <v/>
      </c>
    </row>
    <row r="18">
      <c r="A18" t="inlineStr">
        <is>
          <t>Mamaearth Bye Bye Blemishes Face Wash</t>
        </is>
      </c>
      <c r="B18" s="2">
        <f>Unit_Economics!B18</f>
        <v/>
      </c>
      <c r="C18" s="2">
        <f>Unit_Economics!M18</f>
        <v/>
      </c>
      <c r="D18" s="2">
        <f>B18-C18</f>
        <v/>
      </c>
      <c r="E18" s="2">
        <f>IF(D18&gt;0, B1/D18, 0)</f>
        <v/>
      </c>
      <c r="F18" s="2">
        <f>E18*B18</f>
        <v/>
      </c>
    </row>
    <row r="19">
      <c r="A19" t="inlineStr">
        <is>
          <t>Vitamin C Daily Glow Face Cream With Vitamin C &amp; Turmeric for Skin Illumination - 80 g</t>
        </is>
      </c>
      <c r="B19" s="2">
        <f>Unit_Economics!B19</f>
        <v/>
      </c>
      <c r="C19" s="2">
        <f>Unit_Economics!M19</f>
        <v/>
      </c>
      <c r="D19" s="2">
        <f>B19-C19</f>
        <v/>
      </c>
      <c r="E19" s="2">
        <f>IF(D19&gt;0, B1/D19, 0)</f>
        <v/>
      </c>
      <c r="F19" s="2">
        <f>E19*B19</f>
        <v/>
      </c>
    </row>
    <row r="20">
      <c r="A20" t="inlineStr">
        <is>
          <t>Mamaearth Ubtan Face Cream</t>
        </is>
      </c>
      <c r="B20" s="2">
        <f>Unit_Economics!B20</f>
        <v/>
      </c>
      <c r="C20" s="2">
        <f>Unit_Economics!M20</f>
        <v/>
      </c>
      <c r="D20" s="2">
        <f>B20-C20</f>
        <v/>
      </c>
      <c r="E20" s="2">
        <f>IF(D20&gt;0, B1/D20, 0)</f>
        <v/>
      </c>
      <c r="F20" s="2">
        <f>E20*B20</f>
        <v/>
      </c>
    </row>
    <row r="21">
      <c r="A21" t="inlineStr">
        <is>
          <t>Mamaearth Vitamin C Night Cream</t>
        </is>
      </c>
      <c r="B21" s="2">
        <f>Unit_Economics!B21</f>
        <v/>
      </c>
      <c r="C21" s="2">
        <f>Unit_Economics!M21</f>
        <v/>
      </c>
      <c r="D21" s="2">
        <f>B21-C21</f>
        <v/>
      </c>
      <c r="E21" s="2">
        <f>IF(D21&gt;0, B1/D21, 0)</f>
        <v/>
      </c>
      <c r="F21" s="2">
        <f>E21*B21</f>
        <v/>
      </c>
    </row>
    <row r="22">
      <c r="A22" t="inlineStr">
        <is>
          <t>Mamaearth Aqua Glow Face Cream</t>
        </is>
      </c>
      <c r="B22" s="2">
        <f>Unit_Economics!B22</f>
        <v/>
      </c>
      <c r="C22" s="2">
        <f>Unit_Economics!M22</f>
        <v/>
      </c>
      <c r="D22" s="2">
        <f>B22-C22</f>
        <v/>
      </c>
      <c r="E22" s="2">
        <f>IF(D22&gt;0, B1/D22, 0)</f>
        <v/>
      </c>
      <c r="F22" s="2">
        <f>E22*B22</f>
        <v/>
      </c>
    </row>
    <row r="23">
      <c r="A23" t="inlineStr">
        <is>
          <t>Mamaearth Honey Oats Face Cream</t>
        </is>
      </c>
      <c r="B23" s="2">
        <f>Unit_Economics!B23</f>
        <v/>
      </c>
      <c r="C23" s="2">
        <f>Unit_Economics!M23</f>
        <v/>
      </c>
      <c r="D23" s="2">
        <f>B23-C23</f>
        <v/>
      </c>
      <c r="E23" s="2">
        <f>IF(D23&gt;0, B1/D23, 0)</f>
        <v/>
      </c>
      <c r="F23" s="2">
        <f>E23*B23</f>
        <v/>
      </c>
    </row>
    <row r="24">
      <c r="A24" t="inlineStr">
        <is>
          <t>Mamaearth Bye Bye Blemishes Face Cream</t>
        </is>
      </c>
      <c r="B24" s="2">
        <f>Unit_Economics!B24</f>
        <v/>
      </c>
      <c r="C24" s="2">
        <f>Unit_Economics!M24</f>
        <v/>
      </c>
      <c r="D24" s="2">
        <f>B24-C24</f>
        <v/>
      </c>
      <c r="E24" s="2">
        <f>IF(D24&gt;0, B1/D24, 0)</f>
        <v/>
      </c>
      <c r="F24" s="2">
        <f>E24*B24</f>
        <v/>
      </c>
    </row>
    <row r="25">
      <c r="A25" t="inlineStr">
        <is>
          <t>Mamaearth Vitamin C Face Serum</t>
        </is>
      </c>
      <c r="B25" s="2">
        <f>Unit_Economics!B25</f>
        <v/>
      </c>
      <c r="C25" s="2">
        <f>Unit_Economics!M25</f>
        <v/>
      </c>
      <c r="D25" s="2">
        <f>B25-C25</f>
        <v/>
      </c>
      <c r="E25" s="2">
        <f>IF(D25&gt;0, B1/D25, 0)</f>
        <v/>
      </c>
      <c r="F25" s="2">
        <f>E25*B25</f>
        <v/>
      </c>
    </row>
    <row r="26">
      <c r="A26" t="inlineStr">
        <is>
          <t>Mamaearth Retinol Face Serum</t>
        </is>
      </c>
      <c r="B26" s="2">
        <f>Unit_Economics!B26</f>
        <v/>
      </c>
      <c r="C26" s="2">
        <f>Unit_Economics!M26</f>
        <v/>
      </c>
      <c r="D26" s="2">
        <f>B26-C26</f>
        <v/>
      </c>
      <c r="E26" s="2">
        <f>IF(D26&gt;0, B1/D26, 0)</f>
        <v/>
      </c>
      <c r="F26" s="2">
        <f>E26*B26</f>
        <v/>
      </c>
    </row>
    <row r="27">
      <c r="A27" t="inlineStr">
        <is>
          <t>Mamaearth Niacinamide Face Serum</t>
        </is>
      </c>
      <c r="B27" s="2">
        <f>Unit_Economics!B27</f>
        <v/>
      </c>
      <c r="C27" s="2">
        <f>Unit_Economics!M27</f>
        <v/>
      </c>
      <c r="D27" s="2">
        <f>B27-C27</f>
        <v/>
      </c>
      <c r="E27" s="2">
        <f>IF(D27&gt;0, B1/D27, 0)</f>
        <v/>
      </c>
      <c r="F27" s="2">
        <f>E27*B27</f>
        <v/>
      </c>
    </row>
    <row r="28">
      <c r="A28" t="inlineStr">
        <is>
          <t>Mamaearth Hyaluronic Acid Serum</t>
        </is>
      </c>
      <c r="B28" s="2">
        <f>Unit_Economics!B28</f>
        <v/>
      </c>
      <c r="C28" s="2">
        <f>Unit_Economics!M28</f>
        <v/>
      </c>
      <c r="D28" s="2">
        <f>B28-C28</f>
        <v/>
      </c>
      <c r="E28" s="2">
        <f>IF(D28&gt;0, B1/D28, 0)</f>
        <v/>
      </c>
      <c r="F28" s="2">
        <f>E28*B28</f>
        <v/>
      </c>
    </row>
    <row r="29">
      <c r="A29" t="inlineStr">
        <is>
          <t>Mamaearth AHA BHA Face Serum</t>
        </is>
      </c>
      <c r="B29" s="2">
        <f>Unit_Economics!B29</f>
        <v/>
      </c>
      <c r="C29" s="2">
        <f>Unit_Economics!M29</f>
        <v/>
      </c>
      <c r="D29" s="2">
        <f>B29-C29</f>
        <v/>
      </c>
      <c r="E29" s="2">
        <f>IF(D29&gt;0, B1/D29, 0)</f>
        <v/>
      </c>
      <c r="F29" s="2">
        <f>E29*B29</f>
        <v/>
      </c>
    </row>
    <row r="30">
      <c r="A30" t="inlineStr">
        <is>
          <t>Mamaearth Rice Face Scrub</t>
        </is>
      </c>
      <c r="B30" s="2">
        <f>Unit_Economics!B30</f>
        <v/>
      </c>
      <c r="C30" s="2">
        <f>Unit_Economics!M30</f>
        <v/>
      </c>
      <c r="D30" s="2">
        <f>B30-C30</f>
        <v/>
      </c>
      <c r="E30" s="2">
        <f>IF(D30&gt;0, B1/D30, 0)</f>
        <v/>
      </c>
      <c r="F30" s="2">
        <f>E30*B30</f>
        <v/>
      </c>
    </row>
    <row r="31">
      <c r="A31" t="inlineStr">
        <is>
          <t>Mamaearth Ubtan Face Scrub</t>
        </is>
      </c>
      <c r="B31" s="2">
        <f>Unit_Economics!B31</f>
        <v/>
      </c>
      <c r="C31" s="2">
        <f>Unit_Economics!M31</f>
        <v/>
      </c>
      <c r="D31" s="2">
        <f>B31-C31</f>
        <v/>
      </c>
      <c r="E31" s="2">
        <f>IF(D31&gt;0, B1/D31, 0)</f>
        <v/>
      </c>
      <c r="F31" s="2">
        <f>E31*B31</f>
        <v/>
      </c>
    </row>
    <row r="32">
      <c r="A32" t="inlineStr">
        <is>
          <t>Mamaearth Charcoal Face Mask</t>
        </is>
      </c>
      <c r="B32" s="2">
        <f>Unit_Economics!B32</f>
        <v/>
      </c>
      <c r="C32" s="2">
        <f>Unit_Economics!M32</f>
        <v/>
      </c>
      <c r="D32" s="2">
        <f>B32-C32</f>
        <v/>
      </c>
      <c r="E32" s="2">
        <f>IF(D32&gt;0, B1/D32, 0)</f>
        <v/>
      </c>
      <c r="F32" s="2">
        <f>E32*B32</f>
        <v/>
      </c>
    </row>
    <row r="33">
      <c r="A33" t="inlineStr">
        <is>
          <t>Mamaearth Vitamin C Face Mask</t>
        </is>
      </c>
      <c r="B33" s="2">
        <f>Unit_Economics!B33</f>
        <v/>
      </c>
      <c r="C33" s="2">
        <f>Unit_Economics!M33</f>
        <v/>
      </c>
      <c r="D33" s="2">
        <f>B33-C33</f>
        <v/>
      </c>
      <c r="E33" s="2">
        <f>IF(D33&gt;0, B1/D33, 0)</f>
        <v/>
      </c>
      <c r="F33" s="2">
        <f>E33*B33</f>
        <v/>
      </c>
    </row>
    <row r="34">
      <c r="A34" t="inlineStr">
        <is>
          <t>Mamaearth Vitamin C Body Lotion</t>
        </is>
      </c>
      <c r="B34" s="2">
        <f>Unit_Economics!B34</f>
        <v/>
      </c>
      <c r="C34" s="2">
        <f>Unit_Economics!M34</f>
        <v/>
      </c>
      <c r="D34" s="2">
        <f>B34-C34</f>
        <v/>
      </c>
      <c r="E34" s="2">
        <f>IF(D34&gt;0, B1/D34, 0)</f>
        <v/>
      </c>
      <c r="F34" s="2">
        <f>E34*B34</f>
        <v/>
      </c>
    </row>
    <row r="35">
      <c r="A35" t="inlineStr">
        <is>
          <t>Mamaearth Ubtan Body Lotion</t>
        </is>
      </c>
      <c r="B35" s="2">
        <f>Unit_Economics!B35</f>
        <v/>
      </c>
      <c r="C35" s="2">
        <f>Unit_Economics!M35</f>
        <v/>
      </c>
      <c r="D35" s="2">
        <f>B35-C35</f>
        <v/>
      </c>
      <c r="E35" s="2">
        <f>IF(D35&gt;0, B1/D35, 0)</f>
        <v/>
      </c>
      <c r="F35" s="2">
        <f>E35*B35</f>
        <v/>
      </c>
    </row>
    <row r="36">
      <c r="A36" t="inlineStr">
        <is>
          <t>Mamaearth Cocoa Body Butter</t>
        </is>
      </c>
      <c r="B36" s="2">
        <f>Unit_Economics!B36</f>
        <v/>
      </c>
      <c r="C36" s="2">
        <f>Unit_Economics!M36</f>
        <v/>
      </c>
      <c r="D36" s="2">
        <f>B36-C36</f>
        <v/>
      </c>
      <c r="E36" s="2">
        <f>IF(D36&gt;0, B1/D36, 0)</f>
        <v/>
      </c>
      <c r="F36" s="2">
        <f>E36*B36</f>
        <v/>
      </c>
    </row>
    <row r="37">
      <c r="A37" t="inlineStr">
        <is>
          <t>Mamaearth Tea Tree Body Wash</t>
        </is>
      </c>
      <c r="B37" s="2">
        <f>Unit_Economics!B37</f>
        <v/>
      </c>
      <c r="C37" s="2">
        <f>Unit_Economics!M37</f>
        <v/>
      </c>
      <c r="D37" s="2">
        <f>B37-C37</f>
        <v/>
      </c>
      <c r="E37" s="2">
        <f>IF(D37&gt;0, B1/D37, 0)</f>
        <v/>
      </c>
      <c r="F37" s="2">
        <f>E37*B37</f>
        <v/>
      </c>
    </row>
    <row r="38">
      <c r="A38" t="inlineStr">
        <is>
          <t>Mamaearth Baby Shampoo</t>
        </is>
      </c>
      <c r="B38" s="2">
        <f>Unit_Economics!B38</f>
        <v/>
      </c>
      <c r="C38" s="2">
        <f>Unit_Economics!M38</f>
        <v/>
      </c>
      <c r="D38" s="2">
        <f>B38-C38</f>
        <v/>
      </c>
      <c r="E38" s="2">
        <f>IF(D38&gt;0, B1/D38, 0)</f>
        <v/>
      </c>
      <c r="F38" s="2">
        <f>E38*B38</f>
        <v/>
      </c>
    </row>
    <row r="39">
      <c r="A39" t="inlineStr">
        <is>
          <t>Mamaearth Baby Lotion</t>
        </is>
      </c>
      <c r="B39" s="2">
        <f>Unit_Economics!B39</f>
        <v/>
      </c>
      <c r="C39" s="2">
        <f>Unit_Economics!M39</f>
        <v/>
      </c>
      <c r="D39" s="2">
        <f>B39-C39</f>
        <v/>
      </c>
      <c r="E39" s="2">
        <f>IF(D39&gt;0, B1/D39, 0)</f>
        <v/>
      </c>
      <c r="F39" s="2">
        <f>E39*B39</f>
        <v/>
      </c>
    </row>
    <row r="40">
      <c r="A40" t="inlineStr">
        <is>
          <t>Mamaearth Baby Soap</t>
        </is>
      </c>
      <c r="B40" s="2">
        <f>Unit_Economics!B40</f>
        <v/>
      </c>
      <c r="C40" s="2">
        <f>Unit_Economics!M40</f>
        <v/>
      </c>
      <c r="D40" s="2">
        <f>B40-C40</f>
        <v/>
      </c>
      <c r="E40" s="2">
        <f>IF(D40&gt;0, B1/D40, 0)</f>
        <v/>
      </c>
      <c r="F40" s="2">
        <f>E40*B40</f>
        <v/>
      </c>
    </row>
    <row r="41">
      <c r="A41" t="inlineStr">
        <is>
          <t>Mamaearth Lip Balm</t>
        </is>
      </c>
      <c r="B41" s="2">
        <f>Unit_Economics!B41</f>
        <v/>
      </c>
      <c r="C41" s="2">
        <f>Unit_Economics!M41</f>
        <v/>
      </c>
      <c r="D41" s="2">
        <f>B41-C41</f>
        <v/>
      </c>
      <c r="E41" s="2">
        <f>IF(D41&gt;0, B1/D41, 0)</f>
        <v/>
      </c>
      <c r="F41" s="2">
        <f>E41*B41</f>
        <v/>
      </c>
    </row>
    <row r="42">
      <c r="A42" t="inlineStr">
        <is>
          <t>Mamaearth Tinted Lip Balm</t>
        </is>
      </c>
      <c r="B42" s="2">
        <f>Unit_Economics!B42</f>
        <v/>
      </c>
      <c r="C42" s="2">
        <f>Unit_Economics!M42</f>
        <v/>
      </c>
      <c r="D42" s="2">
        <f>B42-C42</f>
        <v/>
      </c>
      <c r="E42" s="2">
        <f>IF(D42&gt;0, B1/D42, 0)</f>
        <v/>
      </c>
      <c r="F42" s="2">
        <f>E42*B42</f>
        <v/>
      </c>
    </row>
    <row r="43">
      <c r="A43" t="inlineStr">
        <is>
          <t>Mamaearth Under Eye Cream</t>
        </is>
      </c>
      <c r="B43" s="2">
        <f>Unit_Economics!B43</f>
        <v/>
      </c>
      <c r="C43" s="2">
        <f>Unit_Economics!M43</f>
        <v/>
      </c>
      <c r="D43" s="2">
        <f>B43-C43</f>
        <v/>
      </c>
      <c r="E43" s="2">
        <f>IF(D43&gt;0, B1/D43, 0)</f>
        <v/>
      </c>
      <c r="F43" s="2">
        <f>E43*B43</f>
        <v/>
      </c>
    </row>
    <row r="44">
      <c r="A44" t="inlineStr">
        <is>
          <t>Mamaearth Kajal</t>
        </is>
      </c>
      <c r="B44" s="2">
        <f>Unit_Economics!B44</f>
        <v/>
      </c>
      <c r="C44" s="2">
        <f>Unit_Economics!M44</f>
        <v/>
      </c>
      <c r="D44" s="2">
        <f>B44-C44</f>
        <v/>
      </c>
      <c r="E44" s="2">
        <f>IF(D44&gt;0, B1/D44, 0)</f>
        <v/>
      </c>
      <c r="F44" s="2">
        <f>E44*B44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AVERAGE(Unit_Economics!N2:N42)</f>
        <v/>
      </c>
    </row>
    <row r="5">
      <c r="A5" t="inlineStr">
        <is>
          <t>Average Profit per Unit (ONDC)</t>
        </is>
      </c>
      <c r="B5" s="2">
        <f>AVERAGE(Unit_Economics!O2:O42)</f>
        <v/>
      </c>
    </row>
    <row r="6">
      <c r="A6" t="inlineStr">
        <is>
          <t>Average Profit Increase %</t>
        </is>
      </c>
      <c r="B6" s="2">
        <f>AVERAGE(Unit_Economics!P2:P42)</f>
        <v/>
      </c>
    </row>
    <row r="7">
      <c r="A7" t="inlineStr">
        <is>
          <t>Total Monthly Profit (Amazon)</t>
        </is>
      </c>
      <c r="B7" s="2">
        <f>SUM(Unit_Economics!Q2:Q42)</f>
        <v/>
      </c>
    </row>
    <row r="8">
      <c r="A8" t="inlineStr">
        <is>
          <t>Total Monthly Profit (ONDC)</t>
        </is>
      </c>
      <c r="B8" s="2">
        <f>SUM(Unit_Economics!R2:R42)</f>
        <v/>
      </c>
    </row>
    <row r="9">
      <c r="A9" t="inlineStr">
        <is>
          <t>Total Monthly Profit Increase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INDEX(Unit_Economics!A2:A42,MATCH(MAX(Unit_Economics!O2:O42),Unit_Economics!O2:O42,0))</f>
        <v/>
      </c>
    </row>
    <row r="13">
      <c r="A13" s="5" t="inlineStr">
        <is>
          <t>Charts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2025-11-05T21:31:35Z</dcterms:created>
  <dcterms:modified xmlns:dcterms="http://purl.org/dc/terms/" xmlns:xsi="http://www.w3.org/2001/XMLSchema-instance" xsi:type="dcterms:W3CDTF">2025-11-05T21:31:35Z</dcterms:modified>
</cp:coreProperties>
</file>