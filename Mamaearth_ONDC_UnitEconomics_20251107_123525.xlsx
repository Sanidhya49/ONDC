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color rgb="00555555"/>
      <sz val="9"/>
    </font>
    <font>
      <color rgb="000066CC"/>
      <sz val="10"/>
    </font>
    <font>
      <b val="1"/>
      <color rgb="00FFFFFF"/>
      <sz val="10"/>
    </font>
    <font>
      <sz val="9"/>
    </font>
    <font>
      <b val="1"/>
      <color rgb="002E75B6"/>
      <sz val="13"/>
    </font>
    <font>
      <i val="1"/>
      <color rgb="00666666"/>
      <sz val="9"/>
    </font>
    <font>
      <b val="1"/>
      <color rgb="002E75B6"/>
      <sz val="12"/>
    </font>
    <font>
      <b val="1"/>
      <color rgb="002E75B6"/>
      <sz val="11"/>
    </font>
    <font>
      <b val="1"/>
      <color rgb="00FFFFFF"/>
      <sz val="18"/>
    </font>
    <font>
      <b val="1"/>
      <color rgb="002E75B6"/>
      <sz val="14"/>
    </font>
    <font>
      <i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E7F3FF"/>
        <bgColor rgb="00E7F3FF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</fills>
  <borders count="7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/>
      <right/>
      <top style="thin">
        <color rgb="002E75B6"/>
      </top>
      <bottom/>
      <diagonal/>
    </border>
    <border>
      <left/>
      <right style="thin">
        <color rgb="002E75B6"/>
      </right>
      <top style="thin">
        <color rgb="002E75B6"/>
      </top>
      <bottom/>
      <diagonal/>
    </border>
    <border>
      <left/>
      <right/>
      <top style="thin">
        <color rgb="002E75B6"/>
      </top>
      <bottom style="thin">
        <color rgb="002E75B6"/>
      </bottom>
      <diagonal/>
    </border>
    <border>
      <left/>
      <right style="thin">
        <color rgb="002E75B6"/>
      </right>
      <top style="thin">
        <color rgb="002E75B6"/>
      </top>
      <bottom style="thin">
        <color rgb="002E75B6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 wrapText="1"/>
    </xf>
    <xf numFmtId="3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4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vertical="center" wrapText="1"/>
    </xf>
    <xf numFmtId="4" fontId="7" fillId="4" borderId="1" applyAlignment="1" pivotButton="0" quotePrefix="0" xfId="0">
      <alignment horizontal="right" vertical="center"/>
    </xf>
    <xf numFmtId="0" fontId="8" fillId="5" borderId="0" pivotButton="0" quotePrefix="0" xfId="0"/>
    <xf numFmtId="0" fontId="2" fillId="6" borderId="0" pivotButton="0" quotePrefix="0" xfId="0"/>
    <xf numFmtId="10" fontId="3" fillId="6" borderId="1" applyAlignment="1" pivotButton="0" quotePrefix="0" xfId="0">
      <alignment horizontal="right" vertical="center"/>
    </xf>
    <xf numFmtId="0" fontId="9" fillId="7" borderId="0" applyAlignment="1" pivotButton="0" quotePrefix="0" xfId="0">
      <alignment vertical="center" wrapText="1"/>
    </xf>
    <xf numFmtId="0" fontId="10" fillId="5" borderId="0" pivotButton="0" quotePrefix="0" xfId="0"/>
    <xf numFmtId="3" fontId="11" fillId="5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13" fillId="5" borderId="0" pivotButton="0" quotePrefix="0" xfId="0"/>
    <xf numFmtId="0" fontId="2" fillId="6" borderId="1" applyAlignment="1" pivotButton="0" quotePrefix="0" xfId="0">
      <alignment vertical="center"/>
    </xf>
    <xf numFmtId="4" fontId="11" fillId="6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  <xf numFmtId="0" fontId="14" fillId="5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Amazon_Commission_pct_300_500</t>
        </is>
      </c>
      <c r="B2" s="3" t="n">
        <v>0.05</v>
      </c>
      <c r="C2" s="4" t="inlineStr">
        <is>
          <t>Amazon commission rate for &gt;₹300 &amp; ≤₹500 (Beauty/Haircare) - 5%</t>
        </is>
      </c>
    </row>
    <row r="3">
      <c r="A3" s="5" t="inlineStr">
        <is>
          <t>Amazon_Commission_pct_above_500</t>
        </is>
      </c>
      <c r="B3" s="6" t="n">
        <v>0.08</v>
      </c>
      <c r="C3" s="7" t="inlineStr">
        <is>
          <t>Amazon commission rate for &gt;₹500 (Beauty/Haircare) - 8%</t>
        </is>
      </c>
    </row>
    <row r="4">
      <c r="A4" s="2" t="inlineStr">
        <is>
          <t>ONDC_Flat_Fee</t>
        </is>
      </c>
      <c r="B4" s="3" t="n">
        <v>1.5</v>
      </c>
      <c r="C4" s="4" t="inlineStr">
        <is>
          <t>ONDC flat fee per transaction above ₹250 (INR) - ₹1.50 from Jan 1, 2025</t>
        </is>
      </c>
    </row>
    <row r="5">
      <c r="A5" s="5" t="inlineStr">
        <is>
          <t>Payment_Fee_pct</t>
        </is>
      </c>
      <c r="B5" s="6" t="n">
        <v>0.02</v>
      </c>
      <c r="C5" s="7" t="inlineStr">
        <is>
          <t>Payment gateway fee rate (decimal) - 2%</t>
        </is>
      </c>
    </row>
    <row r="6">
      <c r="A6" s="2" t="inlineStr">
        <is>
          <t>Packaging_per_unit</t>
        </is>
      </c>
      <c r="B6" s="8" t="n">
        <v>12</v>
      </c>
      <c r="C6" s="4" t="inlineStr">
        <is>
          <t>Packaging cost per unit (INR)</t>
        </is>
      </c>
    </row>
    <row r="7">
      <c r="A7" s="5" t="inlineStr">
        <is>
          <t>Other_Fees_per_unit</t>
        </is>
      </c>
      <c r="B7" s="9" t="n">
        <v>5</v>
      </c>
      <c r="C7" s="7" t="inlineStr">
        <is>
          <t>Other fees per unit (INR)</t>
        </is>
      </c>
    </row>
    <row r="8">
      <c r="A8" s="2" t="inlineStr">
        <is>
          <t>CAC_Amazon_per_unit</t>
        </is>
      </c>
      <c r="B8" s="8" t="n">
        <v>90</v>
      </c>
      <c r="C8" s="4" t="inlineStr">
        <is>
          <t>Customer Acquisition Cost per unit - Amazon (INR)</t>
        </is>
      </c>
    </row>
    <row r="9">
      <c r="A9" s="5" t="inlineStr">
        <is>
          <t>CAC_ONDC_per_unit</t>
        </is>
      </c>
      <c r="B9" s="9" t="n">
        <v>100</v>
      </c>
      <c r="C9" s="7" t="inlineStr">
        <is>
          <t>Customer Acquisition Cost per unit - ONDC (INR)</t>
        </is>
      </c>
    </row>
    <row r="10">
      <c r="A10" s="2" t="inlineStr">
        <is>
          <t>Default_Fixed_Costs_monthly</t>
        </is>
      </c>
      <c r="B10" s="8" t="n">
        <v>50000</v>
      </c>
      <c r="C10" s="4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2" customWidth="1" min="2" max="2"/>
    <col width="15" customWidth="1" min="3" max="3"/>
    <col width="18" customWidth="1" min="4" max="4"/>
    <col width="20" customWidth="1" min="5" max="5"/>
    <col width="18" customWidth="1" min="6" max="6"/>
    <col width="15" customWidth="1" min="7" max="7"/>
    <col width="15" customWidth="1" min="8" max="8"/>
  </cols>
  <sheetData>
    <row r="1">
      <c r="A1" s="10" t="inlineStr">
        <is>
          <t>Product_Name</t>
        </is>
      </c>
      <c r="B1" s="10" t="inlineStr">
        <is>
          <t>Size</t>
        </is>
      </c>
      <c r="C1" s="10" t="inlineStr">
        <is>
          <t>Selling_Price</t>
        </is>
      </c>
      <c r="D1" s="10" t="inlineStr">
        <is>
          <t>Estimated_Weight_g</t>
        </is>
      </c>
      <c r="E1" s="10" t="inlineStr">
        <is>
          <t>Monthly_Sales_Units</t>
        </is>
      </c>
      <c r="F1" s="10" t="inlineStr">
        <is>
          <t>Cost_of_Goods_est</t>
        </is>
      </c>
      <c r="G1" s="10" t="inlineStr">
        <is>
          <t>Logistics_Cost</t>
        </is>
      </c>
      <c r="H1" s="10" t="inlineStr">
        <is>
          <t>Data_Source</t>
        </is>
      </c>
    </row>
    <row r="2">
      <c r="A2" s="11" t="inlineStr">
        <is>
          <t>Mamaearth Onion Hair Oil</t>
        </is>
      </c>
      <c r="B2" s="12" t="inlineStr">
        <is>
          <t>100ml</t>
        </is>
      </c>
      <c r="C2" s="8" t="n">
        <v>399</v>
      </c>
      <c r="D2" s="8" t="n">
        <v>100</v>
      </c>
      <c r="E2" s="8" t="n">
        <v>18000</v>
      </c>
      <c r="F2" s="3" t="n">
        <v>119.7</v>
      </c>
      <c r="G2" s="3" t="n">
        <v>15</v>
      </c>
      <c r="H2" s="13" t="inlineStr">
        <is>
          <t>final.xlsx</t>
        </is>
      </c>
    </row>
    <row r="3">
      <c r="A3" s="14" t="inlineStr">
        <is>
          <t>Mamaearth Onion Shampoo</t>
        </is>
      </c>
      <c r="B3" s="15" t="inlineStr">
        <is>
          <t>250ml</t>
        </is>
      </c>
      <c r="C3" s="9" t="n">
        <v>310</v>
      </c>
      <c r="D3" s="9" t="n">
        <v>250</v>
      </c>
      <c r="E3" s="9" t="n">
        <v>23400</v>
      </c>
      <c r="F3" s="6" t="n">
        <v>53.1</v>
      </c>
      <c r="G3" s="6" t="n">
        <v>15</v>
      </c>
      <c r="H3" s="16" t="inlineStr">
        <is>
          <t>final.xlsx</t>
        </is>
      </c>
    </row>
    <row r="4">
      <c r="A4" s="11" t="inlineStr">
        <is>
          <t>Mamaearth Onion Conditioner</t>
        </is>
      </c>
      <c r="B4" s="12" t="inlineStr">
        <is>
          <t>250ml</t>
        </is>
      </c>
      <c r="C4" s="8" t="n">
        <v>349</v>
      </c>
      <c r="D4" s="8" t="n">
        <v>250</v>
      </c>
      <c r="E4" s="8" t="n">
        <v>18000</v>
      </c>
      <c r="F4" s="3" t="n">
        <v>104.7</v>
      </c>
      <c r="G4" s="3" t="n">
        <v>15</v>
      </c>
      <c r="H4" s="13" t="inlineStr">
        <is>
          <t>final.xlsx</t>
        </is>
      </c>
    </row>
    <row r="5">
      <c r="A5" s="14" t="inlineStr">
        <is>
          <t>Rosemary Hair Growth Oil with Rosemary &amp; Methi Dana for Promoting Hair Growth - 100 ml</t>
        </is>
      </c>
      <c r="B5" s="15" t="inlineStr">
        <is>
          <t>100ml</t>
        </is>
      </c>
      <c r="C5" s="9" t="n">
        <v>266</v>
      </c>
      <c r="D5" s="9" t="n">
        <v>100</v>
      </c>
      <c r="E5" s="9" t="n">
        <v>23400</v>
      </c>
      <c r="F5" s="6" t="n">
        <v>30</v>
      </c>
      <c r="G5" s="6" t="n">
        <v>15</v>
      </c>
      <c r="H5" s="16" t="inlineStr">
        <is>
          <t>final.xlsx</t>
        </is>
      </c>
    </row>
    <row r="6">
      <c r="A6" s="11" t="inlineStr">
        <is>
          <t>Mamaearth Rosemary Shampoo</t>
        </is>
      </c>
      <c r="B6" s="12" t="inlineStr">
        <is>
          <t>250ml</t>
        </is>
      </c>
      <c r="C6" s="8" t="n">
        <v>310</v>
      </c>
      <c r="D6" s="8" t="n">
        <v>250</v>
      </c>
      <c r="E6" s="8" t="n">
        <v>18000</v>
      </c>
      <c r="F6" s="3" t="n">
        <v>93</v>
      </c>
      <c r="G6" s="3" t="n">
        <v>15</v>
      </c>
      <c r="H6" s="13" t="inlineStr">
        <is>
          <t>final.xlsx</t>
        </is>
      </c>
    </row>
    <row r="7">
      <c r="A7" s="14" t="inlineStr">
        <is>
          <t>Mamaearth Argan Hair Mask</t>
        </is>
      </c>
      <c r="B7" s="15" t="inlineStr">
        <is>
          <t>200g</t>
        </is>
      </c>
      <c r="C7" s="9" t="n">
        <v>599</v>
      </c>
      <c r="D7" s="9" t="n">
        <v>200</v>
      </c>
      <c r="E7" s="9" t="n">
        <v>18000</v>
      </c>
      <c r="F7" s="6" t="n">
        <v>111.6</v>
      </c>
      <c r="G7" s="6" t="n">
        <v>15</v>
      </c>
      <c r="H7" s="16" t="inlineStr">
        <is>
          <t>final.xlsx</t>
        </is>
      </c>
    </row>
    <row r="8">
      <c r="A8" s="11" t="inlineStr">
        <is>
          <t>Mamaearth Onion Hair Growth Serum (50ml)</t>
        </is>
      </c>
      <c r="B8" s="12" t="inlineStr">
        <is>
          <t>50ml</t>
        </is>
      </c>
      <c r="C8" s="8" t="n">
        <v>599</v>
      </c>
      <c r="D8" s="8" t="n">
        <v>50</v>
      </c>
      <c r="E8" s="8" t="n">
        <v>15000</v>
      </c>
      <c r="F8" s="3" t="n">
        <v>179.7</v>
      </c>
      <c r="G8" s="3" t="n">
        <v>15</v>
      </c>
      <c r="H8" s="13" t="inlineStr">
        <is>
          <t>final.xlsx</t>
        </is>
      </c>
    </row>
    <row r="9">
      <c r="A9" s="14" t="inlineStr">
        <is>
          <t>Mamaearth Vitamin C and Turmeric Face Wash</t>
        </is>
      </c>
      <c r="B9" s="15" t="inlineStr">
        <is>
          <t>100ml</t>
        </is>
      </c>
      <c r="C9" s="9" t="n">
        <v>269</v>
      </c>
      <c r="D9" s="9" t="n">
        <v>100</v>
      </c>
      <c r="E9" s="9" t="n">
        <v>18000</v>
      </c>
      <c r="F9" s="6" t="n">
        <v>119.7</v>
      </c>
      <c r="G9" s="6" t="n">
        <v>15</v>
      </c>
      <c r="H9" s="16" t="inlineStr">
        <is>
          <t>final.xlsx</t>
        </is>
      </c>
    </row>
    <row r="10">
      <c r="A10" s="11" t="inlineStr">
        <is>
          <t>Ubtan Natural Glow Face Wash with Turmeric &amp; Saffron for Tan Removal – 100 ml</t>
        </is>
      </c>
      <c r="B10" s="12" t="inlineStr">
        <is>
          <t>100ml</t>
        </is>
      </c>
      <c r="C10" s="8" t="n">
        <v>269</v>
      </c>
      <c r="D10" s="8" t="n">
        <v>100</v>
      </c>
      <c r="E10" s="8" t="n">
        <v>26000</v>
      </c>
      <c r="F10" s="3" t="n">
        <v>30</v>
      </c>
      <c r="G10" s="3" t="n">
        <v>15</v>
      </c>
      <c r="H10" s="13" t="inlineStr">
        <is>
          <t>final.xlsx</t>
        </is>
      </c>
    </row>
    <row r="11">
      <c r="A11" s="14" t="inlineStr">
        <is>
          <t>Tea Tree Pimple Control Face Wash with Tea Tree &amp; Salicylic for Oily &amp; Acne-Prone Skin - 100ml</t>
        </is>
      </c>
      <c r="B11" s="15" t="inlineStr">
        <is>
          <t>100ml</t>
        </is>
      </c>
      <c r="C11" s="9" t="n">
        <v>269</v>
      </c>
      <c r="D11" s="9" t="n">
        <v>100</v>
      </c>
      <c r="E11" s="9" t="n">
        <v>26000</v>
      </c>
      <c r="F11" s="6" t="n">
        <v>30</v>
      </c>
      <c r="G11" s="6" t="n">
        <v>15</v>
      </c>
      <c r="H11" s="16" t="inlineStr">
        <is>
          <t>final.xlsx</t>
        </is>
      </c>
    </row>
    <row r="12">
      <c r="A12" s="11" t="inlineStr">
        <is>
          <t>Mamaearth Aloe Vera Face Wash</t>
        </is>
      </c>
      <c r="B12" s="12" t="inlineStr">
        <is>
          <t>100ml</t>
        </is>
      </c>
      <c r="C12" s="8" t="n">
        <v>269</v>
      </c>
      <c r="D12" s="8" t="n">
        <v>100</v>
      </c>
      <c r="E12" s="8" t="n">
        <v>22000</v>
      </c>
      <c r="F12" s="3" t="n">
        <v>80.7</v>
      </c>
      <c r="G12" s="3" t="n">
        <v>15</v>
      </c>
      <c r="H12" s="13" t="inlineStr">
        <is>
          <t>final.xlsx</t>
        </is>
      </c>
    </row>
    <row r="13">
      <c r="A13" s="14" t="inlineStr">
        <is>
          <t>Rice Dewy Bright Face Wash With Rice Water &amp; Niacinamide for Glass Skin - 200 ml</t>
        </is>
      </c>
      <c r="B13" s="15" t="inlineStr">
        <is>
          <t>200ml</t>
        </is>
      </c>
      <c r="C13" s="9" t="n">
        <v>549</v>
      </c>
      <c r="D13" s="9" t="n">
        <v>200</v>
      </c>
      <c r="E13" s="9" t="n">
        <v>26000</v>
      </c>
      <c r="F13" s="6" t="n">
        <v>30</v>
      </c>
      <c r="G13" s="6" t="n">
        <v>15</v>
      </c>
      <c r="H13" s="16" t="inlineStr">
        <is>
          <t>final.xlsx</t>
        </is>
      </c>
    </row>
    <row r="14">
      <c r="A14" s="11" t="inlineStr">
        <is>
          <t>Mamaearth Charcoal Face Wash</t>
        </is>
      </c>
      <c r="B14" s="12" t="inlineStr">
        <is>
          <t>100ml</t>
        </is>
      </c>
      <c r="C14" s="8" t="n">
        <v>269</v>
      </c>
      <c r="D14" s="8" t="n">
        <v>100</v>
      </c>
      <c r="E14" s="8" t="n">
        <v>22000</v>
      </c>
      <c r="F14" s="3" t="n">
        <v>80.7</v>
      </c>
      <c r="G14" s="3" t="n">
        <v>15</v>
      </c>
      <c r="H14" s="13" t="inlineStr">
        <is>
          <t>final.xlsx</t>
        </is>
      </c>
    </row>
    <row r="15">
      <c r="A15" s="14" t="inlineStr">
        <is>
          <t>Mamaearth Bye Bye Blemishes Face Wash</t>
        </is>
      </c>
      <c r="B15" s="15" t="inlineStr">
        <is>
          <t>100ml</t>
        </is>
      </c>
      <c r="C15" s="9" t="n">
        <v>269</v>
      </c>
      <c r="D15" s="9" t="n">
        <v>100</v>
      </c>
      <c r="E15" s="9" t="n">
        <v>22000</v>
      </c>
      <c r="F15" s="6" t="n">
        <v>80.7</v>
      </c>
      <c r="G15" s="6" t="n">
        <v>15</v>
      </c>
      <c r="H15" s="16" t="inlineStr">
        <is>
          <t>final.xlsx</t>
        </is>
      </c>
    </row>
    <row r="16">
      <c r="A16" s="11" t="inlineStr">
        <is>
          <t>Vitamin C Daily Glow Face Cream With Vitamin C &amp; Turmeric for Skin Illumination - 80 g</t>
        </is>
      </c>
      <c r="B16" s="12" t="inlineStr">
        <is>
          <t>80g</t>
        </is>
      </c>
      <c r="C16" s="8" t="n">
        <v>249</v>
      </c>
      <c r="D16" s="8" t="n">
        <v>80</v>
      </c>
      <c r="E16" s="8" t="n">
        <v>26000</v>
      </c>
      <c r="F16" s="3" t="n">
        <v>24</v>
      </c>
      <c r="G16" s="3" t="n">
        <v>15</v>
      </c>
      <c r="H16" s="13" t="inlineStr">
        <is>
          <t>final.xlsx</t>
        </is>
      </c>
    </row>
    <row r="17">
      <c r="A17" s="14" t="inlineStr">
        <is>
          <t>Mamaearth Ubtan Natural Glow Face Wash with Turmeric &amp; Saffron for Tan Removal – 150 ml</t>
        </is>
      </c>
      <c r="B17" s="15" t="inlineStr">
        <is>
          <t>150ml</t>
        </is>
      </c>
      <c r="C17" s="9" t="n">
        <v>399</v>
      </c>
      <c r="D17" s="9" t="n">
        <v>150</v>
      </c>
      <c r="E17" s="9" t="n">
        <v>15000</v>
      </c>
      <c r="F17" s="6" t="n">
        <v>119.7</v>
      </c>
      <c r="G17" s="6" t="n">
        <v>15</v>
      </c>
      <c r="H17" s="16" t="inlineStr">
        <is>
          <t>final.xlsx</t>
        </is>
      </c>
    </row>
    <row r="18">
      <c r="A18" s="11" t="inlineStr">
        <is>
          <t>Mamaearth Vitamin C Night Cream</t>
        </is>
      </c>
      <c r="B18" s="12" t="inlineStr">
        <is>
          <t>50g</t>
        </is>
      </c>
      <c r="C18" s="8" t="n">
        <v>599</v>
      </c>
      <c r="D18" s="8" t="n">
        <v>50</v>
      </c>
      <c r="E18" s="8" t="n">
        <v>16000</v>
      </c>
      <c r="F18" s="3" t="n">
        <v>179.7</v>
      </c>
      <c r="G18" s="3" t="n">
        <v>15</v>
      </c>
      <c r="H18" s="13" t="inlineStr">
        <is>
          <t>final.xlsx</t>
        </is>
      </c>
    </row>
    <row r="19">
      <c r="A19" s="14" t="inlineStr">
        <is>
          <t>Aqua Glow Face Wash With Himalayan Thermal Water and Hyaluronic Acid for Intense Hydration - 100ml</t>
        </is>
      </c>
      <c r="B19" s="15" t="inlineStr">
        <is>
          <t>100ml</t>
        </is>
      </c>
      <c r="C19" s="9" t="n">
        <v>399</v>
      </c>
      <c r="D19" s="9" t="n">
        <v>100</v>
      </c>
      <c r="E19" s="9" t="n">
        <v>15000</v>
      </c>
      <c r="F19" s="6" t="n">
        <v>119.7</v>
      </c>
      <c r="G19" s="6" t="n">
        <v>15</v>
      </c>
      <c r="H19" s="16" t="inlineStr">
        <is>
          <t>final.xlsx</t>
        </is>
      </c>
    </row>
    <row r="20">
      <c r="A20" s="11" t="inlineStr">
        <is>
          <t>Honey Malai Cold Cream with Honey &amp; Malai For Nourishing Glow - 200 g</t>
        </is>
      </c>
      <c r="B20" s="12" t="inlineStr">
        <is>
          <t>200g</t>
        </is>
      </c>
      <c r="C20" s="8" t="n">
        <v>349</v>
      </c>
      <c r="D20" s="8" t="n">
        <v>200</v>
      </c>
      <c r="E20" s="8" t="n">
        <v>15000</v>
      </c>
      <c r="F20" s="3" t="n">
        <v>104.7</v>
      </c>
      <c r="G20" s="3" t="n">
        <v>15</v>
      </c>
      <c r="H20" s="13" t="inlineStr">
        <is>
          <t>final.xlsx</t>
        </is>
      </c>
    </row>
    <row r="21">
      <c r="A21" s="14" t="inlineStr">
        <is>
          <t>Mamaearth Bye Bye Blemishes Face Cream - 30g</t>
        </is>
      </c>
      <c r="B21" s="15" t="inlineStr">
        <is>
          <t>30g</t>
        </is>
      </c>
      <c r="C21" s="9" t="n">
        <v>471</v>
      </c>
      <c r="D21" s="9" t="n">
        <v>30</v>
      </c>
      <c r="E21" s="9" t="n">
        <v>15000</v>
      </c>
      <c r="F21" s="6" t="n">
        <v>141.3</v>
      </c>
      <c r="G21" s="6" t="n">
        <v>15</v>
      </c>
      <c r="H21" s="16" t="inlineStr">
        <is>
          <t>final.xlsx</t>
        </is>
      </c>
    </row>
    <row r="22">
      <c r="A22" s="11" t="inlineStr">
        <is>
          <t>Mamaearth Vitamin C Face Serum</t>
        </is>
      </c>
      <c r="B22" s="12" t="inlineStr">
        <is>
          <t>30ml</t>
        </is>
      </c>
      <c r="C22" s="8" t="n">
        <v>1043</v>
      </c>
      <c r="D22" s="8" t="n">
        <v>30</v>
      </c>
      <c r="E22" s="8" t="n">
        <v>16000</v>
      </c>
      <c r="F22" s="3" t="n">
        <v>312.9</v>
      </c>
      <c r="G22" s="3" t="n">
        <v>15</v>
      </c>
      <c r="H22" s="13" t="inlineStr">
        <is>
          <t>final.xlsx</t>
        </is>
      </c>
    </row>
    <row r="23">
      <c r="A23" s="14" t="inlineStr">
        <is>
          <t>Mamaearth Niacinamide Face Serum</t>
        </is>
      </c>
      <c r="B23" s="15" t="inlineStr">
        <is>
          <t>30ml</t>
        </is>
      </c>
      <c r="C23" s="9" t="n">
        <v>599</v>
      </c>
      <c r="D23" s="9" t="n">
        <v>30</v>
      </c>
      <c r="E23" s="9" t="n">
        <v>16000</v>
      </c>
      <c r="F23" s="6" t="n">
        <v>179.7</v>
      </c>
      <c r="G23" s="6" t="n">
        <v>15</v>
      </c>
      <c r="H23" s="16" t="inlineStr">
        <is>
          <t>final.xlsx</t>
        </is>
      </c>
    </row>
    <row r="24">
      <c r="A24" s="11" t="inlineStr">
        <is>
          <t>Mamaearth Hyaluronic Acid Serum</t>
        </is>
      </c>
      <c r="B24" s="12" t="inlineStr">
        <is>
          <t>30ml</t>
        </is>
      </c>
      <c r="C24" s="8" t="n">
        <v>649</v>
      </c>
      <c r="D24" s="8" t="n">
        <v>30</v>
      </c>
      <c r="E24" s="8" t="n">
        <v>16000</v>
      </c>
      <c r="F24" s="3" t="n">
        <v>194.7</v>
      </c>
      <c r="G24" s="3" t="n">
        <v>15</v>
      </c>
      <c r="H24" s="13" t="inlineStr">
        <is>
          <t>final.xlsx</t>
        </is>
      </c>
    </row>
    <row r="25">
      <c r="A25" s="14" t="inlineStr">
        <is>
          <t>Mamaearth Rice Face Scrub</t>
        </is>
      </c>
      <c r="B25" s="15" t="inlineStr">
        <is>
          <t>100g</t>
        </is>
      </c>
      <c r="C25" s="9" t="n">
        <v>349</v>
      </c>
      <c r="D25" s="9" t="n">
        <v>100</v>
      </c>
      <c r="E25" s="9" t="n">
        <v>20000</v>
      </c>
      <c r="F25" s="6" t="n">
        <v>104.7</v>
      </c>
      <c r="G25" s="6" t="n">
        <v>15</v>
      </c>
      <c r="H25" s="16" t="inlineStr">
        <is>
          <t>final.xlsx</t>
        </is>
      </c>
    </row>
    <row r="26">
      <c r="A26" s="11" t="inlineStr">
        <is>
          <t>Mamaearth Ubtan Face Scrub</t>
        </is>
      </c>
      <c r="B26" s="12" t="inlineStr">
        <is>
          <t>100g</t>
        </is>
      </c>
      <c r="C26" s="8" t="n">
        <v>349</v>
      </c>
      <c r="D26" s="8" t="n">
        <v>100</v>
      </c>
      <c r="E26" s="8" t="n">
        <v>20000</v>
      </c>
      <c r="F26" s="3" t="n">
        <v>104.7</v>
      </c>
      <c r="G26" s="3" t="n">
        <v>15</v>
      </c>
      <c r="H26" s="13" t="inlineStr">
        <is>
          <t>final.xlsx</t>
        </is>
      </c>
    </row>
    <row r="27">
      <c r="A27" s="14" t="inlineStr">
        <is>
          <t>Mamaearth Charcoal Face Mask - 200g</t>
        </is>
      </c>
      <c r="B27" s="15" t="inlineStr">
        <is>
          <t>200g</t>
        </is>
      </c>
      <c r="C27" s="9" t="n">
        <v>424</v>
      </c>
      <c r="D27" s="9" t="n">
        <v>200</v>
      </c>
      <c r="E27" s="9" t="n">
        <v>15000</v>
      </c>
      <c r="F27" s="6" t="n">
        <v>127.2</v>
      </c>
      <c r="G27" s="6" t="n">
        <v>15</v>
      </c>
      <c r="H27" s="16" t="inlineStr">
        <is>
          <t>final.xlsx</t>
        </is>
      </c>
    </row>
    <row r="28">
      <c r="A28" s="11" t="inlineStr">
        <is>
          <t>Vitamin C Daily Glow Face Serum - 10ml</t>
        </is>
      </c>
      <c r="B28" s="12" t="inlineStr">
        <is>
          <t>10ml</t>
        </is>
      </c>
      <c r="C28" s="8" t="n">
        <v>225</v>
      </c>
      <c r="D28" s="8" t="n">
        <v>10</v>
      </c>
      <c r="E28" s="8" t="n">
        <v>15000</v>
      </c>
      <c r="F28" s="3" t="n">
        <v>67.5</v>
      </c>
      <c r="G28" s="3" t="n">
        <v>15</v>
      </c>
      <c r="H28" s="13" t="inlineStr">
        <is>
          <t>final.xlsx</t>
        </is>
      </c>
    </row>
    <row r="29">
      <c r="A29" s="14" t="inlineStr">
        <is>
          <t>Mamaearth Vitamin C Body Lotion</t>
        </is>
      </c>
      <c r="B29" s="15" t="inlineStr">
        <is>
          <t>400ml</t>
        </is>
      </c>
      <c r="C29" s="9" t="n">
        <v>469</v>
      </c>
      <c r="D29" s="9" t="n">
        <v>400</v>
      </c>
      <c r="E29" s="9" t="n">
        <v>13500</v>
      </c>
      <c r="F29" s="6" t="n">
        <v>140.7</v>
      </c>
      <c r="G29" s="6" t="n">
        <v>15</v>
      </c>
      <c r="H29" s="16" t="inlineStr">
        <is>
          <t>final.xlsx</t>
        </is>
      </c>
    </row>
    <row r="30">
      <c r="A30" s="11" t="inlineStr">
        <is>
          <t>Mamaearth Ubtan Body Lotion</t>
        </is>
      </c>
      <c r="B30" s="12" t="inlineStr">
        <is>
          <t>400ml</t>
        </is>
      </c>
      <c r="C30" s="8" t="n">
        <v>469</v>
      </c>
      <c r="D30" s="8" t="n">
        <v>400</v>
      </c>
      <c r="E30" s="8" t="n">
        <v>13500</v>
      </c>
      <c r="F30" s="3" t="n">
        <v>140.7</v>
      </c>
      <c r="G30" s="3" t="n">
        <v>15</v>
      </c>
      <c r="H30" s="13" t="inlineStr">
        <is>
          <t>final.xlsx</t>
        </is>
      </c>
    </row>
    <row r="31">
      <c r="A31" s="14" t="inlineStr">
        <is>
          <t>Mamaearth Cocoa Rich Moisturizing Body Lotion with Cocoa Butter &amp; Vitamin E for Intense Moisturization - 400 ml</t>
        </is>
      </c>
      <c r="B31" s="15" t="inlineStr">
        <is>
          <t>400ml</t>
        </is>
      </c>
      <c r="C31" s="9" t="n">
        <v>235</v>
      </c>
      <c r="D31" s="9" t="n">
        <v>400</v>
      </c>
      <c r="E31" s="9" t="n">
        <v>15000</v>
      </c>
      <c r="F31" s="6" t="n">
        <v>70.5</v>
      </c>
      <c r="G31" s="6" t="n">
        <v>15</v>
      </c>
      <c r="H31" s="16" t="inlineStr">
        <is>
          <t>final.xlsx</t>
        </is>
      </c>
    </row>
    <row r="32">
      <c r="A32" s="11" t="inlineStr">
        <is>
          <t>Mamaearth Tea Tree Body Wash With Tea Tree and Neem For Skin Purification - 300 ml</t>
        </is>
      </c>
      <c r="B32" s="12" t="inlineStr">
        <is>
          <t>300ml</t>
        </is>
      </c>
      <c r="C32" s="8" t="n">
        <v>349</v>
      </c>
      <c r="D32" s="8" t="n">
        <v>300</v>
      </c>
      <c r="E32" s="8" t="n">
        <v>15000</v>
      </c>
      <c r="F32" s="3" t="n">
        <v>104.7</v>
      </c>
      <c r="G32" s="3" t="n">
        <v>15</v>
      </c>
      <c r="H32" s="13" t="inlineStr">
        <is>
          <t>final.xlsx</t>
        </is>
      </c>
    </row>
    <row r="33">
      <c r="A33" s="14" t="inlineStr">
        <is>
          <t>Milky Soft Shampoo with Oats, Milk and Calendula for Babies - 400 ml</t>
        </is>
      </c>
      <c r="B33" s="15" t="inlineStr">
        <is>
          <t>400ml</t>
        </is>
      </c>
      <c r="C33" s="9" t="n">
        <v>444</v>
      </c>
      <c r="D33" s="9" t="n">
        <v>400</v>
      </c>
      <c r="E33" s="9" t="n">
        <v>15000</v>
      </c>
      <c r="F33" s="6" t="n">
        <v>133.2</v>
      </c>
      <c r="G33" s="6" t="n">
        <v>15</v>
      </c>
      <c r="H33" s="16" t="inlineStr">
        <is>
          <t>final.xlsx</t>
        </is>
      </c>
    </row>
    <row r="34">
      <c r="A34" s="11" t="inlineStr">
        <is>
          <t>Milky Soft Body Lotion for Babies with Oats, Milk &amp; Calendula – 200ml</t>
        </is>
      </c>
      <c r="B34" s="12" t="inlineStr">
        <is>
          <t>200ml</t>
        </is>
      </c>
      <c r="C34" s="8" t="n">
        <v>249</v>
      </c>
      <c r="D34" s="8" t="n">
        <v>200</v>
      </c>
      <c r="E34" s="8" t="n">
        <v>15000</v>
      </c>
      <c r="F34" s="3" t="n">
        <v>74.7</v>
      </c>
      <c r="G34" s="3" t="n">
        <v>15</v>
      </c>
      <c r="H34" s="13" t="inlineStr">
        <is>
          <t>final.xlsx</t>
        </is>
      </c>
    </row>
    <row r="35">
      <c r="A35" s="14" t="inlineStr">
        <is>
          <t>Moisturizing Bathing Bar Soap For Babies, pack of 2*75g</t>
        </is>
      </c>
      <c r="B35" s="15" t="inlineStr">
        <is>
          <t>75g</t>
        </is>
      </c>
      <c r="C35" s="9" t="n">
        <v>221</v>
      </c>
      <c r="D35" s="9" t="n">
        <v>75</v>
      </c>
      <c r="E35" s="9" t="n">
        <v>15000</v>
      </c>
      <c r="F35" s="6" t="n">
        <v>66.3</v>
      </c>
      <c r="G35" s="6" t="n">
        <v>15</v>
      </c>
      <c r="H35" s="16" t="inlineStr">
        <is>
          <t>final.xlsx</t>
        </is>
      </c>
    </row>
    <row r="36">
      <c r="A36" s="11" t="inlineStr">
        <is>
          <t>Mamaearth Lip Balm</t>
        </is>
      </c>
      <c r="B36" s="12" t="inlineStr">
        <is>
          <t>4g</t>
        </is>
      </c>
      <c r="C36" s="8" t="n">
        <v>299</v>
      </c>
      <c r="D36" s="8" t="n">
        <v>4</v>
      </c>
      <c r="E36" s="8" t="n">
        <v>27500</v>
      </c>
      <c r="F36" s="3" t="n">
        <v>89.7</v>
      </c>
      <c r="G36" s="3" t="n">
        <v>15</v>
      </c>
      <c r="H36" s="13" t="inlineStr">
        <is>
          <t>final.xlsx</t>
        </is>
      </c>
    </row>
    <row r="37">
      <c r="A37" s="14" t="inlineStr">
        <is>
          <t>Mamaearth Tinted Lip Balm</t>
        </is>
      </c>
      <c r="B37" s="15" t="inlineStr">
        <is>
          <t>4g</t>
        </is>
      </c>
      <c r="C37" s="9" t="n">
        <v>299</v>
      </c>
      <c r="D37" s="9" t="n">
        <v>4</v>
      </c>
      <c r="E37" s="9" t="n">
        <v>27500</v>
      </c>
      <c r="F37" s="6" t="n">
        <v>89.7</v>
      </c>
      <c r="G37" s="6" t="n">
        <v>15</v>
      </c>
      <c r="H37" s="16" t="inlineStr">
        <is>
          <t>final.xlsx</t>
        </is>
      </c>
    </row>
    <row r="38">
      <c r="A38" s="11" t="inlineStr">
        <is>
          <t>Mamaearth Under Eye Cream</t>
        </is>
      </c>
      <c r="B38" s="12" t="inlineStr">
        <is>
          <t>20g</t>
        </is>
      </c>
      <c r="C38" s="8" t="n">
        <v>349</v>
      </c>
      <c r="D38" s="8" t="n">
        <v>20</v>
      </c>
      <c r="E38" s="8" t="n">
        <v>10000</v>
      </c>
      <c r="F38" s="3" t="n">
        <v>104.7</v>
      </c>
      <c r="G38" s="3" t="n">
        <v>15</v>
      </c>
      <c r="H38" s="13" t="inlineStr">
        <is>
          <t>final.xlsx</t>
        </is>
      </c>
    </row>
    <row r="39">
      <c r="A39" s="14" t="inlineStr">
        <is>
          <t>Charcoal Black Long Stay Kajal with Vitamin C &amp; Chamomile for 11-Hour Smudge-free Stay</t>
        </is>
      </c>
      <c r="B39" s="15" t="inlineStr">
        <is>
          <t>100ml</t>
        </is>
      </c>
      <c r="C39" s="9" t="n">
        <v>299</v>
      </c>
      <c r="D39" s="9" t="n">
        <v>100</v>
      </c>
      <c r="E39" s="9" t="n">
        <v>23400</v>
      </c>
      <c r="F39" s="6" t="n">
        <v>30</v>
      </c>
      <c r="G39" s="6" t="n">
        <v>15</v>
      </c>
      <c r="H39" s="16" t="inlineStr">
        <is>
          <t>final.xlsx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7" t="inlineStr">
        <is>
          <t>Product_Name</t>
        </is>
      </c>
      <c r="B1" s="17" t="inlineStr">
        <is>
          <t>Selling_Price</t>
        </is>
      </c>
      <c r="C1" s="17" t="inlineStr">
        <is>
          <t>Cost_of_Goods</t>
        </is>
      </c>
      <c r="D1" s="17" t="inlineStr">
        <is>
          <t>Amazon_Commission_amt</t>
        </is>
      </c>
      <c r="E1" s="17" t="inlineStr">
        <is>
          <t>ONDC_Commission_amt</t>
        </is>
      </c>
      <c r="F1" s="17" t="inlineStr">
        <is>
          <t>Payment_Gateway_Fee</t>
        </is>
      </c>
      <c r="G1" s="17" t="inlineStr">
        <is>
          <t>Logistics_Cost</t>
        </is>
      </c>
      <c r="H1" s="17" t="inlineStr">
        <is>
          <t>Packaging_Cost</t>
        </is>
      </c>
      <c r="I1" s="17" t="inlineStr">
        <is>
          <t>Other_Fees</t>
        </is>
      </c>
      <c r="J1" s="17" t="inlineStr">
        <is>
          <t>CAC_Amazon</t>
        </is>
      </c>
      <c r="K1" s="17" t="inlineStr">
        <is>
          <t>CAC_ONDC</t>
        </is>
      </c>
      <c r="L1" s="17" t="inlineStr">
        <is>
          <t>Total_Cost_Amazon</t>
        </is>
      </c>
      <c r="M1" s="17" t="inlineStr">
        <is>
          <t>Total_Cost_ONDC</t>
        </is>
      </c>
      <c r="N1" s="17" t="inlineStr">
        <is>
          <t>Profit_per_unit_Amazon</t>
        </is>
      </c>
      <c r="O1" s="17" t="inlineStr">
        <is>
          <t>Profit_per_unit_ONDC</t>
        </is>
      </c>
      <c r="P1" s="17" t="inlineStr">
        <is>
          <t>Profit_Change_pct</t>
        </is>
      </c>
      <c r="Q1" s="17" t="inlineStr">
        <is>
          <t>Monthly_Profit_Amazon</t>
        </is>
      </c>
      <c r="R1" s="17" t="inlineStr">
        <is>
          <t>Monthly_Profit_ONDC</t>
        </is>
      </c>
    </row>
    <row r="2">
      <c r="A2" s="18" t="inlineStr">
        <is>
          <t>Mamaearth Onion Hair Oil</t>
        </is>
      </c>
      <c r="B2" s="19">
        <f>Product_Data!C2</f>
        <v/>
      </c>
      <c r="C2" s="19">
        <f>Product_Data!F2</f>
        <v/>
      </c>
      <c r="D2" s="19">
        <f>IF(B2&lt;=300, 0, IF(B2&lt;=500, B2*Parameters!B2, B2*Parameters!B3))</f>
        <v/>
      </c>
      <c r="E2" s="19">
        <f>IF(B2&lt;=250, 0, Parameters!B4)</f>
        <v/>
      </c>
      <c r="F2" s="19">
        <f>B2*Parameters!B5</f>
        <v/>
      </c>
      <c r="G2" s="19">
        <f>Product_Data!G2</f>
        <v/>
      </c>
      <c r="H2" s="19">
        <f>Parameters!B6</f>
        <v/>
      </c>
      <c r="I2" s="19">
        <f>Parameters!B7</f>
        <v/>
      </c>
      <c r="J2" s="19">
        <f>Parameters!B8</f>
        <v/>
      </c>
      <c r="K2" s="19">
        <f>Parameters!B9</f>
        <v/>
      </c>
      <c r="L2" s="19">
        <f>C2+D2+F2+G2+H2+I2+J2</f>
        <v/>
      </c>
      <c r="M2" s="19">
        <f>C2+E2+F2+G2+H2+I2+K2</f>
        <v/>
      </c>
      <c r="N2" s="19">
        <f>B2-L2</f>
        <v/>
      </c>
      <c r="O2" s="19">
        <f>B2-M2</f>
        <v/>
      </c>
      <c r="P2" s="19">
        <f>IF(ABS(N2)&gt;0, (O2-N2)/ABS(N2)*100, 0)</f>
        <v/>
      </c>
      <c r="Q2" s="19">
        <f>N2*Product_Data!E2</f>
        <v/>
      </c>
      <c r="R2" s="19">
        <f>O2*Product_Data!E2</f>
        <v/>
      </c>
    </row>
    <row r="3">
      <c r="A3" s="20" t="inlineStr">
        <is>
          <t>Mamaearth Onion Shampoo</t>
        </is>
      </c>
      <c r="B3" s="21">
        <f>Product_Data!C3</f>
        <v/>
      </c>
      <c r="C3" s="21">
        <f>Product_Data!F3</f>
        <v/>
      </c>
      <c r="D3" s="21">
        <f>IF(B3&lt;=300, 0, IF(B3&lt;=500, B3*Parameters!B2, B3*Parameters!B3))</f>
        <v/>
      </c>
      <c r="E3" s="21">
        <f>IF(B3&lt;=250, 0, Parameters!B4)</f>
        <v/>
      </c>
      <c r="F3" s="21">
        <f>B3*Parameters!B5</f>
        <v/>
      </c>
      <c r="G3" s="21">
        <f>Product_Data!G3</f>
        <v/>
      </c>
      <c r="H3" s="21">
        <f>Parameters!B6</f>
        <v/>
      </c>
      <c r="I3" s="21">
        <f>Parameters!B7</f>
        <v/>
      </c>
      <c r="J3" s="21">
        <f>Parameters!B8</f>
        <v/>
      </c>
      <c r="K3" s="21">
        <f>Parameters!B9</f>
        <v/>
      </c>
      <c r="L3" s="21">
        <f>C3+D3+F3+G3+H3+I3+J3</f>
        <v/>
      </c>
      <c r="M3" s="21">
        <f>C3+E3+F3+G3+H3+I3+K3</f>
        <v/>
      </c>
      <c r="N3" s="21">
        <f>B3-L3</f>
        <v/>
      </c>
      <c r="O3" s="21">
        <f>B3-M3</f>
        <v/>
      </c>
      <c r="P3" s="21">
        <f>IF(ABS(N3)&gt;0, (O3-N3)/ABS(N3)*100, 0)</f>
        <v/>
      </c>
      <c r="Q3" s="21">
        <f>N3*Product_Data!E3</f>
        <v/>
      </c>
      <c r="R3" s="21">
        <f>O3*Product_Data!E3</f>
        <v/>
      </c>
    </row>
    <row r="4">
      <c r="A4" s="18" t="inlineStr">
        <is>
          <t>Mamaearth Onion Conditioner</t>
        </is>
      </c>
      <c r="B4" s="19">
        <f>Product_Data!C4</f>
        <v/>
      </c>
      <c r="C4" s="19">
        <f>Product_Data!F4</f>
        <v/>
      </c>
      <c r="D4" s="19">
        <f>IF(B4&lt;=300, 0, IF(B4&lt;=500, B4*Parameters!B2, B4*Parameters!B3))</f>
        <v/>
      </c>
      <c r="E4" s="19">
        <f>IF(B4&lt;=250, 0, Parameters!B4)</f>
        <v/>
      </c>
      <c r="F4" s="19">
        <f>B4*Parameters!B5</f>
        <v/>
      </c>
      <c r="G4" s="19">
        <f>Product_Data!G4</f>
        <v/>
      </c>
      <c r="H4" s="19">
        <f>Parameters!B6</f>
        <v/>
      </c>
      <c r="I4" s="19">
        <f>Parameters!B7</f>
        <v/>
      </c>
      <c r="J4" s="19">
        <f>Parameters!B8</f>
        <v/>
      </c>
      <c r="K4" s="19">
        <f>Parameters!B9</f>
        <v/>
      </c>
      <c r="L4" s="19">
        <f>C4+D4+F4+G4+H4+I4+J4</f>
        <v/>
      </c>
      <c r="M4" s="19">
        <f>C4+E4+F4+G4+H4+I4+K4</f>
        <v/>
      </c>
      <c r="N4" s="19">
        <f>B4-L4</f>
        <v/>
      </c>
      <c r="O4" s="19">
        <f>B4-M4</f>
        <v/>
      </c>
      <c r="P4" s="19">
        <f>IF(ABS(N4)&gt;0, (O4-N4)/ABS(N4)*100, 0)</f>
        <v/>
      </c>
      <c r="Q4" s="19">
        <f>N4*Product_Data!E4</f>
        <v/>
      </c>
      <c r="R4" s="19">
        <f>O4*Product_Data!E4</f>
        <v/>
      </c>
    </row>
    <row r="5">
      <c r="A5" s="20" t="inlineStr">
        <is>
          <t>Rosemary Hair Growth Oil with Rosemary &amp; Methi Dana for Promoting Hair Growth - 100 ml</t>
        </is>
      </c>
      <c r="B5" s="21">
        <f>Product_Data!C5</f>
        <v/>
      </c>
      <c r="C5" s="21">
        <f>Product_Data!F5</f>
        <v/>
      </c>
      <c r="D5" s="21">
        <f>IF(B5&lt;=300, 0, IF(B5&lt;=500, B5*Parameters!B2, B5*Parameters!B3))</f>
        <v/>
      </c>
      <c r="E5" s="21">
        <f>IF(B5&lt;=250, 0, Parameters!B4)</f>
        <v/>
      </c>
      <c r="F5" s="21">
        <f>B5*Parameters!B5</f>
        <v/>
      </c>
      <c r="G5" s="21">
        <f>Product_Data!G5</f>
        <v/>
      </c>
      <c r="H5" s="21">
        <f>Parameters!B6</f>
        <v/>
      </c>
      <c r="I5" s="21">
        <f>Parameters!B7</f>
        <v/>
      </c>
      <c r="J5" s="21">
        <f>Parameters!B8</f>
        <v/>
      </c>
      <c r="K5" s="21">
        <f>Parameters!B9</f>
        <v/>
      </c>
      <c r="L5" s="21">
        <f>C5+D5+F5+G5+H5+I5+J5</f>
        <v/>
      </c>
      <c r="M5" s="21">
        <f>C5+E5+F5+G5+H5+I5+K5</f>
        <v/>
      </c>
      <c r="N5" s="21">
        <f>B5-L5</f>
        <v/>
      </c>
      <c r="O5" s="21">
        <f>B5-M5</f>
        <v/>
      </c>
      <c r="P5" s="21">
        <f>IF(ABS(N5)&gt;0, (O5-N5)/ABS(N5)*100, 0)</f>
        <v/>
      </c>
      <c r="Q5" s="21">
        <f>N5*Product_Data!E5</f>
        <v/>
      </c>
      <c r="R5" s="21">
        <f>O5*Product_Data!E5</f>
        <v/>
      </c>
    </row>
    <row r="6">
      <c r="A6" s="18" t="inlineStr">
        <is>
          <t>Mamaearth Rosemary Shampoo</t>
        </is>
      </c>
      <c r="B6" s="19">
        <f>Product_Data!C6</f>
        <v/>
      </c>
      <c r="C6" s="19">
        <f>Product_Data!F6</f>
        <v/>
      </c>
      <c r="D6" s="19">
        <f>IF(B6&lt;=300, 0, IF(B6&lt;=500, B6*Parameters!B2, B6*Parameters!B3))</f>
        <v/>
      </c>
      <c r="E6" s="19">
        <f>IF(B6&lt;=250, 0, Parameters!B4)</f>
        <v/>
      </c>
      <c r="F6" s="19">
        <f>B6*Parameters!B5</f>
        <v/>
      </c>
      <c r="G6" s="19">
        <f>Product_Data!G6</f>
        <v/>
      </c>
      <c r="H6" s="19">
        <f>Parameters!B6</f>
        <v/>
      </c>
      <c r="I6" s="19">
        <f>Parameters!B7</f>
        <v/>
      </c>
      <c r="J6" s="19">
        <f>Parameters!B8</f>
        <v/>
      </c>
      <c r="K6" s="19">
        <f>Parameters!B9</f>
        <v/>
      </c>
      <c r="L6" s="19">
        <f>C6+D6+F6+G6+H6+I6+J6</f>
        <v/>
      </c>
      <c r="M6" s="19">
        <f>C6+E6+F6+G6+H6+I6+K6</f>
        <v/>
      </c>
      <c r="N6" s="19">
        <f>B6-L6</f>
        <v/>
      </c>
      <c r="O6" s="19">
        <f>B6-M6</f>
        <v/>
      </c>
      <c r="P6" s="19">
        <f>IF(ABS(N6)&gt;0, (O6-N6)/ABS(N6)*100, 0)</f>
        <v/>
      </c>
      <c r="Q6" s="19">
        <f>N6*Product_Data!E6</f>
        <v/>
      </c>
      <c r="R6" s="19">
        <f>O6*Product_Data!E6</f>
        <v/>
      </c>
    </row>
    <row r="7">
      <c r="A7" s="20" t="inlineStr">
        <is>
          <t>Mamaearth Argan Hair Mask</t>
        </is>
      </c>
      <c r="B7" s="21">
        <f>Product_Data!C7</f>
        <v/>
      </c>
      <c r="C7" s="21">
        <f>Product_Data!F7</f>
        <v/>
      </c>
      <c r="D7" s="21">
        <f>IF(B7&lt;=300, 0, IF(B7&lt;=500, B7*Parameters!B2, B7*Parameters!B3))</f>
        <v/>
      </c>
      <c r="E7" s="21">
        <f>IF(B7&lt;=250, 0, Parameters!B4)</f>
        <v/>
      </c>
      <c r="F7" s="21">
        <f>B7*Parameters!B5</f>
        <v/>
      </c>
      <c r="G7" s="21">
        <f>Product_Data!G7</f>
        <v/>
      </c>
      <c r="H7" s="21">
        <f>Parameters!B6</f>
        <v/>
      </c>
      <c r="I7" s="21">
        <f>Parameters!B7</f>
        <v/>
      </c>
      <c r="J7" s="21">
        <f>Parameters!B8</f>
        <v/>
      </c>
      <c r="K7" s="21">
        <f>Parameters!B9</f>
        <v/>
      </c>
      <c r="L7" s="21">
        <f>C7+D7+F7+G7+H7+I7+J7</f>
        <v/>
      </c>
      <c r="M7" s="21">
        <f>C7+E7+F7+G7+H7+I7+K7</f>
        <v/>
      </c>
      <c r="N7" s="21">
        <f>B7-L7</f>
        <v/>
      </c>
      <c r="O7" s="21">
        <f>B7-M7</f>
        <v/>
      </c>
      <c r="P7" s="21">
        <f>IF(ABS(N7)&gt;0, (O7-N7)/ABS(N7)*100, 0)</f>
        <v/>
      </c>
      <c r="Q7" s="21">
        <f>N7*Product_Data!E7</f>
        <v/>
      </c>
      <c r="R7" s="21">
        <f>O7*Product_Data!E7</f>
        <v/>
      </c>
    </row>
    <row r="8">
      <c r="A8" s="18" t="inlineStr">
        <is>
          <t>Mamaearth Onion Hair Growth Serum (50ml)</t>
        </is>
      </c>
      <c r="B8" s="19">
        <f>Product_Data!C8</f>
        <v/>
      </c>
      <c r="C8" s="19">
        <f>Product_Data!F8</f>
        <v/>
      </c>
      <c r="D8" s="19">
        <f>IF(B8&lt;=300, 0, IF(B8&lt;=500, B8*Parameters!B2, B8*Parameters!B3))</f>
        <v/>
      </c>
      <c r="E8" s="19">
        <f>IF(B8&lt;=250, 0, Parameters!B4)</f>
        <v/>
      </c>
      <c r="F8" s="19">
        <f>B8*Parameters!B5</f>
        <v/>
      </c>
      <c r="G8" s="19">
        <f>Product_Data!G8</f>
        <v/>
      </c>
      <c r="H8" s="19">
        <f>Parameters!B6</f>
        <v/>
      </c>
      <c r="I8" s="19">
        <f>Parameters!B7</f>
        <v/>
      </c>
      <c r="J8" s="19">
        <f>Parameters!B8</f>
        <v/>
      </c>
      <c r="K8" s="19">
        <f>Parameters!B9</f>
        <v/>
      </c>
      <c r="L8" s="19">
        <f>C8+D8+F8+G8+H8+I8+J8</f>
        <v/>
      </c>
      <c r="M8" s="19">
        <f>C8+E8+F8+G8+H8+I8+K8</f>
        <v/>
      </c>
      <c r="N8" s="19">
        <f>B8-L8</f>
        <v/>
      </c>
      <c r="O8" s="19">
        <f>B8-M8</f>
        <v/>
      </c>
      <c r="P8" s="19">
        <f>IF(ABS(N8)&gt;0, (O8-N8)/ABS(N8)*100, 0)</f>
        <v/>
      </c>
      <c r="Q8" s="19">
        <f>N8*Product_Data!E8</f>
        <v/>
      </c>
      <c r="R8" s="19">
        <f>O8*Product_Data!E8</f>
        <v/>
      </c>
    </row>
    <row r="9">
      <c r="A9" s="20" t="inlineStr">
        <is>
          <t>Mamaearth Vitamin C and Turmeric Face Wash</t>
        </is>
      </c>
      <c r="B9" s="21">
        <f>Product_Data!C9</f>
        <v/>
      </c>
      <c r="C9" s="21">
        <f>Product_Data!F9</f>
        <v/>
      </c>
      <c r="D9" s="21">
        <f>IF(B9&lt;=300, 0, IF(B9&lt;=500, B9*Parameters!B2, B9*Parameters!B3))</f>
        <v/>
      </c>
      <c r="E9" s="21">
        <f>IF(B9&lt;=250, 0, Parameters!B4)</f>
        <v/>
      </c>
      <c r="F9" s="21">
        <f>B9*Parameters!B5</f>
        <v/>
      </c>
      <c r="G9" s="21">
        <f>Product_Data!G9</f>
        <v/>
      </c>
      <c r="H9" s="21">
        <f>Parameters!B6</f>
        <v/>
      </c>
      <c r="I9" s="21">
        <f>Parameters!B7</f>
        <v/>
      </c>
      <c r="J9" s="21">
        <f>Parameters!B8</f>
        <v/>
      </c>
      <c r="K9" s="21">
        <f>Parameters!B9</f>
        <v/>
      </c>
      <c r="L9" s="21">
        <f>C9+D9+F9+G9+H9+I9+J9</f>
        <v/>
      </c>
      <c r="M9" s="21">
        <f>C9+E9+F9+G9+H9+I9+K9</f>
        <v/>
      </c>
      <c r="N9" s="21">
        <f>B9-L9</f>
        <v/>
      </c>
      <c r="O9" s="21">
        <f>B9-M9</f>
        <v/>
      </c>
      <c r="P9" s="21">
        <f>IF(ABS(N9)&gt;0, (O9-N9)/ABS(N9)*100, 0)</f>
        <v/>
      </c>
      <c r="Q9" s="21">
        <f>N9*Product_Data!E9</f>
        <v/>
      </c>
      <c r="R9" s="21">
        <f>O9*Product_Data!E9</f>
        <v/>
      </c>
    </row>
    <row r="10">
      <c r="A10" s="18" t="inlineStr">
        <is>
          <t>Ubtan Natural Glow Face Wash with Turmeric &amp; Saffron for Tan Removal – 100 ml</t>
        </is>
      </c>
      <c r="B10" s="19">
        <f>Product_Data!C10</f>
        <v/>
      </c>
      <c r="C10" s="19">
        <f>Product_Data!F10</f>
        <v/>
      </c>
      <c r="D10" s="19">
        <f>IF(B10&lt;=300, 0, IF(B10&lt;=500, B10*Parameters!B2, B10*Parameters!B3))</f>
        <v/>
      </c>
      <c r="E10" s="19">
        <f>IF(B10&lt;=250, 0, Parameters!B4)</f>
        <v/>
      </c>
      <c r="F10" s="19">
        <f>B10*Parameters!B5</f>
        <v/>
      </c>
      <c r="G10" s="19">
        <f>Product_Data!G10</f>
        <v/>
      </c>
      <c r="H10" s="19">
        <f>Parameters!B6</f>
        <v/>
      </c>
      <c r="I10" s="19">
        <f>Parameters!B7</f>
        <v/>
      </c>
      <c r="J10" s="19">
        <f>Parameters!B8</f>
        <v/>
      </c>
      <c r="K10" s="19">
        <f>Parameters!B9</f>
        <v/>
      </c>
      <c r="L10" s="19">
        <f>C10+D10+F10+G10+H10+I10+J10</f>
        <v/>
      </c>
      <c r="M10" s="19">
        <f>C10+E10+F10+G10+H10+I10+K10</f>
        <v/>
      </c>
      <c r="N10" s="19">
        <f>B10-L10</f>
        <v/>
      </c>
      <c r="O10" s="19">
        <f>B10-M10</f>
        <v/>
      </c>
      <c r="P10" s="19">
        <f>IF(ABS(N10)&gt;0, (O10-N10)/ABS(N10)*100, 0)</f>
        <v/>
      </c>
      <c r="Q10" s="19">
        <f>N10*Product_Data!E10</f>
        <v/>
      </c>
      <c r="R10" s="19">
        <f>O10*Product_Data!E10</f>
        <v/>
      </c>
    </row>
    <row r="11">
      <c r="A11" s="20" t="inlineStr">
        <is>
          <t>Tea Tree Pimple Control Face Wash with Tea Tree &amp; Salicylic for Oily &amp; Acne-Prone Skin - 100ml</t>
        </is>
      </c>
      <c r="B11" s="21">
        <f>Product_Data!C11</f>
        <v/>
      </c>
      <c r="C11" s="21">
        <f>Product_Data!F11</f>
        <v/>
      </c>
      <c r="D11" s="21">
        <f>IF(B11&lt;=300, 0, IF(B11&lt;=500, B11*Parameters!B2, B11*Parameters!B3))</f>
        <v/>
      </c>
      <c r="E11" s="21">
        <f>IF(B11&lt;=250, 0, Parameters!B4)</f>
        <v/>
      </c>
      <c r="F11" s="21">
        <f>B11*Parameters!B5</f>
        <v/>
      </c>
      <c r="G11" s="21">
        <f>Product_Data!G11</f>
        <v/>
      </c>
      <c r="H11" s="21">
        <f>Parameters!B6</f>
        <v/>
      </c>
      <c r="I11" s="21">
        <f>Parameters!B7</f>
        <v/>
      </c>
      <c r="J11" s="21">
        <f>Parameters!B8</f>
        <v/>
      </c>
      <c r="K11" s="21">
        <f>Parameters!B9</f>
        <v/>
      </c>
      <c r="L11" s="21">
        <f>C11+D11+F11+G11+H11+I11+J11</f>
        <v/>
      </c>
      <c r="M11" s="21">
        <f>C11+E11+F11+G11+H11+I11+K11</f>
        <v/>
      </c>
      <c r="N11" s="21">
        <f>B11-L11</f>
        <v/>
      </c>
      <c r="O11" s="21">
        <f>B11-M11</f>
        <v/>
      </c>
      <c r="P11" s="21">
        <f>IF(ABS(N11)&gt;0, (O11-N11)/ABS(N11)*100, 0)</f>
        <v/>
      </c>
      <c r="Q11" s="21">
        <f>N11*Product_Data!E11</f>
        <v/>
      </c>
      <c r="R11" s="21">
        <f>O11*Product_Data!E11</f>
        <v/>
      </c>
    </row>
    <row r="12">
      <c r="A12" s="18" t="inlineStr">
        <is>
          <t>Mamaearth Aloe Vera Face Wash</t>
        </is>
      </c>
      <c r="B12" s="19">
        <f>Product_Data!C12</f>
        <v/>
      </c>
      <c r="C12" s="19">
        <f>Product_Data!F12</f>
        <v/>
      </c>
      <c r="D12" s="19">
        <f>IF(B12&lt;=300, 0, IF(B12&lt;=500, B12*Parameters!B2, B12*Parameters!B3))</f>
        <v/>
      </c>
      <c r="E12" s="19">
        <f>IF(B12&lt;=250, 0, Parameters!B4)</f>
        <v/>
      </c>
      <c r="F12" s="19">
        <f>B12*Parameters!B5</f>
        <v/>
      </c>
      <c r="G12" s="19">
        <f>Product_Data!G12</f>
        <v/>
      </c>
      <c r="H12" s="19">
        <f>Parameters!B6</f>
        <v/>
      </c>
      <c r="I12" s="19">
        <f>Parameters!B7</f>
        <v/>
      </c>
      <c r="J12" s="19">
        <f>Parameters!B8</f>
        <v/>
      </c>
      <c r="K12" s="19">
        <f>Parameters!B9</f>
        <v/>
      </c>
      <c r="L12" s="19">
        <f>C12+D12+F12+G12+H12+I12+J12</f>
        <v/>
      </c>
      <c r="M12" s="19">
        <f>C12+E12+F12+G12+H12+I12+K12</f>
        <v/>
      </c>
      <c r="N12" s="19">
        <f>B12-L12</f>
        <v/>
      </c>
      <c r="O12" s="19">
        <f>B12-M12</f>
        <v/>
      </c>
      <c r="P12" s="19">
        <f>IF(ABS(N12)&gt;0, (O12-N12)/ABS(N12)*100, 0)</f>
        <v/>
      </c>
      <c r="Q12" s="19">
        <f>N12*Product_Data!E12</f>
        <v/>
      </c>
      <c r="R12" s="19">
        <f>O12*Product_Data!E12</f>
        <v/>
      </c>
    </row>
    <row r="13">
      <c r="A13" s="20" t="inlineStr">
        <is>
          <t>Rice Dewy Bright Face Wash With Rice Water &amp; Niacinamide for Glass Skin - 200 ml</t>
        </is>
      </c>
      <c r="B13" s="21">
        <f>Product_Data!C13</f>
        <v/>
      </c>
      <c r="C13" s="21">
        <f>Product_Data!F13</f>
        <v/>
      </c>
      <c r="D13" s="21">
        <f>IF(B13&lt;=300, 0, IF(B13&lt;=500, B13*Parameters!B2, B13*Parameters!B3))</f>
        <v/>
      </c>
      <c r="E13" s="21">
        <f>IF(B13&lt;=250, 0, Parameters!B4)</f>
        <v/>
      </c>
      <c r="F13" s="21">
        <f>B13*Parameters!B5</f>
        <v/>
      </c>
      <c r="G13" s="21">
        <f>Product_Data!G13</f>
        <v/>
      </c>
      <c r="H13" s="21">
        <f>Parameters!B6</f>
        <v/>
      </c>
      <c r="I13" s="21">
        <f>Parameters!B7</f>
        <v/>
      </c>
      <c r="J13" s="21">
        <f>Parameters!B8</f>
        <v/>
      </c>
      <c r="K13" s="21">
        <f>Parameters!B9</f>
        <v/>
      </c>
      <c r="L13" s="21">
        <f>C13+D13+F13+G13+H13+I13+J13</f>
        <v/>
      </c>
      <c r="M13" s="21">
        <f>C13+E13+F13+G13+H13+I13+K13</f>
        <v/>
      </c>
      <c r="N13" s="21">
        <f>B13-L13</f>
        <v/>
      </c>
      <c r="O13" s="21">
        <f>B13-M13</f>
        <v/>
      </c>
      <c r="P13" s="21">
        <f>IF(ABS(N13)&gt;0, (O13-N13)/ABS(N13)*100, 0)</f>
        <v/>
      </c>
      <c r="Q13" s="21">
        <f>N13*Product_Data!E13</f>
        <v/>
      </c>
      <c r="R13" s="21">
        <f>O13*Product_Data!E13</f>
        <v/>
      </c>
    </row>
    <row r="14">
      <c r="A14" s="18" t="inlineStr">
        <is>
          <t>Mamaearth Charcoal Face Wash</t>
        </is>
      </c>
      <c r="B14" s="19">
        <f>Product_Data!C14</f>
        <v/>
      </c>
      <c r="C14" s="19">
        <f>Product_Data!F14</f>
        <v/>
      </c>
      <c r="D14" s="19">
        <f>IF(B14&lt;=300, 0, IF(B14&lt;=500, B14*Parameters!B2, B14*Parameters!B3))</f>
        <v/>
      </c>
      <c r="E14" s="19">
        <f>IF(B14&lt;=250, 0, Parameters!B4)</f>
        <v/>
      </c>
      <c r="F14" s="19">
        <f>B14*Parameters!B5</f>
        <v/>
      </c>
      <c r="G14" s="19">
        <f>Product_Data!G14</f>
        <v/>
      </c>
      <c r="H14" s="19">
        <f>Parameters!B6</f>
        <v/>
      </c>
      <c r="I14" s="19">
        <f>Parameters!B7</f>
        <v/>
      </c>
      <c r="J14" s="19">
        <f>Parameters!B8</f>
        <v/>
      </c>
      <c r="K14" s="19">
        <f>Parameters!B9</f>
        <v/>
      </c>
      <c r="L14" s="19">
        <f>C14+D14+F14+G14+H14+I14+J14</f>
        <v/>
      </c>
      <c r="M14" s="19">
        <f>C14+E14+F14+G14+H14+I14+K14</f>
        <v/>
      </c>
      <c r="N14" s="19">
        <f>B14-L14</f>
        <v/>
      </c>
      <c r="O14" s="19">
        <f>B14-M14</f>
        <v/>
      </c>
      <c r="P14" s="19">
        <f>IF(ABS(N14)&gt;0, (O14-N14)/ABS(N14)*100, 0)</f>
        <v/>
      </c>
      <c r="Q14" s="19">
        <f>N14*Product_Data!E14</f>
        <v/>
      </c>
      <c r="R14" s="19">
        <f>O14*Product_Data!E14</f>
        <v/>
      </c>
    </row>
    <row r="15">
      <c r="A15" s="20" t="inlineStr">
        <is>
          <t>Mamaearth Bye Bye Blemishes Face Wash</t>
        </is>
      </c>
      <c r="B15" s="21">
        <f>Product_Data!C15</f>
        <v/>
      </c>
      <c r="C15" s="21">
        <f>Product_Data!F15</f>
        <v/>
      </c>
      <c r="D15" s="21">
        <f>IF(B15&lt;=300, 0, IF(B15&lt;=500, B15*Parameters!B2, B15*Parameters!B3))</f>
        <v/>
      </c>
      <c r="E15" s="21">
        <f>IF(B15&lt;=250, 0, Parameters!B4)</f>
        <v/>
      </c>
      <c r="F15" s="21">
        <f>B15*Parameters!B5</f>
        <v/>
      </c>
      <c r="G15" s="21">
        <f>Product_Data!G15</f>
        <v/>
      </c>
      <c r="H15" s="21">
        <f>Parameters!B6</f>
        <v/>
      </c>
      <c r="I15" s="21">
        <f>Parameters!B7</f>
        <v/>
      </c>
      <c r="J15" s="21">
        <f>Parameters!B8</f>
        <v/>
      </c>
      <c r="K15" s="21">
        <f>Parameters!B9</f>
        <v/>
      </c>
      <c r="L15" s="21">
        <f>C15+D15+F15+G15+H15+I15+J15</f>
        <v/>
      </c>
      <c r="M15" s="21">
        <f>C15+E15+F15+G15+H15+I15+K15</f>
        <v/>
      </c>
      <c r="N15" s="21">
        <f>B15-L15</f>
        <v/>
      </c>
      <c r="O15" s="21">
        <f>B15-M15</f>
        <v/>
      </c>
      <c r="P15" s="21">
        <f>IF(ABS(N15)&gt;0, (O15-N15)/ABS(N15)*100, 0)</f>
        <v/>
      </c>
      <c r="Q15" s="21">
        <f>N15*Product_Data!E15</f>
        <v/>
      </c>
      <c r="R15" s="21">
        <f>O15*Product_Data!E15</f>
        <v/>
      </c>
    </row>
    <row r="16">
      <c r="A16" s="18" t="inlineStr">
        <is>
          <t>Vitamin C Daily Glow Face Cream With Vitamin C &amp; Turmeric for Skin Illumination - 80 g</t>
        </is>
      </c>
      <c r="B16" s="19">
        <f>Product_Data!C16</f>
        <v/>
      </c>
      <c r="C16" s="19">
        <f>Product_Data!F16</f>
        <v/>
      </c>
      <c r="D16" s="19">
        <f>IF(B16&lt;=300, 0, IF(B16&lt;=500, B16*Parameters!B2, B16*Parameters!B3))</f>
        <v/>
      </c>
      <c r="E16" s="19">
        <f>IF(B16&lt;=250, 0, Parameters!B4)</f>
        <v/>
      </c>
      <c r="F16" s="19">
        <f>B16*Parameters!B5</f>
        <v/>
      </c>
      <c r="G16" s="19">
        <f>Product_Data!G16</f>
        <v/>
      </c>
      <c r="H16" s="19">
        <f>Parameters!B6</f>
        <v/>
      </c>
      <c r="I16" s="19">
        <f>Parameters!B7</f>
        <v/>
      </c>
      <c r="J16" s="19">
        <f>Parameters!B8</f>
        <v/>
      </c>
      <c r="K16" s="19">
        <f>Parameters!B9</f>
        <v/>
      </c>
      <c r="L16" s="19">
        <f>C16+D16+F16+G16+H16+I16+J16</f>
        <v/>
      </c>
      <c r="M16" s="19">
        <f>C16+E16+F16+G16+H16+I16+K16</f>
        <v/>
      </c>
      <c r="N16" s="19">
        <f>B16-L16</f>
        <v/>
      </c>
      <c r="O16" s="19">
        <f>B16-M16</f>
        <v/>
      </c>
      <c r="P16" s="19">
        <f>IF(ABS(N16)&gt;0, (O16-N16)/ABS(N16)*100, 0)</f>
        <v/>
      </c>
      <c r="Q16" s="19">
        <f>N16*Product_Data!E16</f>
        <v/>
      </c>
      <c r="R16" s="19">
        <f>O16*Product_Data!E16</f>
        <v/>
      </c>
    </row>
    <row r="17">
      <c r="A17" s="20" t="inlineStr">
        <is>
          <t>Mamaearth Ubtan Natural Glow Face Wash with Turmeric &amp; Saffron for Tan Removal – 150 ml</t>
        </is>
      </c>
      <c r="B17" s="21">
        <f>Product_Data!C17</f>
        <v/>
      </c>
      <c r="C17" s="21">
        <f>Product_Data!F17</f>
        <v/>
      </c>
      <c r="D17" s="21">
        <f>IF(B17&lt;=300, 0, IF(B17&lt;=500, B17*Parameters!B2, B17*Parameters!B3))</f>
        <v/>
      </c>
      <c r="E17" s="21">
        <f>IF(B17&lt;=250, 0, Parameters!B4)</f>
        <v/>
      </c>
      <c r="F17" s="21">
        <f>B17*Parameters!B5</f>
        <v/>
      </c>
      <c r="G17" s="21">
        <f>Product_Data!G17</f>
        <v/>
      </c>
      <c r="H17" s="21">
        <f>Parameters!B6</f>
        <v/>
      </c>
      <c r="I17" s="21">
        <f>Parameters!B7</f>
        <v/>
      </c>
      <c r="J17" s="21">
        <f>Parameters!B8</f>
        <v/>
      </c>
      <c r="K17" s="21">
        <f>Parameters!B9</f>
        <v/>
      </c>
      <c r="L17" s="21">
        <f>C17+D17+F17+G17+H17+I17+J17</f>
        <v/>
      </c>
      <c r="M17" s="21">
        <f>C17+E17+F17+G17+H17+I17+K17</f>
        <v/>
      </c>
      <c r="N17" s="21">
        <f>B17-L17</f>
        <v/>
      </c>
      <c r="O17" s="21">
        <f>B17-M17</f>
        <v/>
      </c>
      <c r="P17" s="21">
        <f>IF(ABS(N17)&gt;0, (O17-N17)/ABS(N17)*100, 0)</f>
        <v/>
      </c>
      <c r="Q17" s="21">
        <f>N17*Product_Data!E17</f>
        <v/>
      </c>
      <c r="R17" s="21">
        <f>O17*Product_Data!E17</f>
        <v/>
      </c>
    </row>
    <row r="18">
      <c r="A18" s="18" t="inlineStr">
        <is>
          <t>Mamaearth Vitamin C Night Cream</t>
        </is>
      </c>
      <c r="B18" s="19">
        <f>Product_Data!C18</f>
        <v/>
      </c>
      <c r="C18" s="19">
        <f>Product_Data!F18</f>
        <v/>
      </c>
      <c r="D18" s="19">
        <f>IF(B18&lt;=300, 0, IF(B18&lt;=500, B18*Parameters!B2, B18*Parameters!B3))</f>
        <v/>
      </c>
      <c r="E18" s="19">
        <f>IF(B18&lt;=250, 0, Parameters!B4)</f>
        <v/>
      </c>
      <c r="F18" s="19">
        <f>B18*Parameters!B5</f>
        <v/>
      </c>
      <c r="G18" s="19">
        <f>Product_Data!G18</f>
        <v/>
      </c>
      <c r="H18" s="19">
        <f>Parameters!B6</f>
        <v/>
      </c>
      <c r="I18" s="19">
        <f>Parameters!B7</f>
        <v/>
      </c>
      <c r="J18" s="19">
        <f>Parameters!B8</f>
        <v/>
      </c>
      <c r="K18" s="19">
        <f>Parameters!B9</f>
        <v/>
      </c>
      <c r="L18" s="19">
        <f>C18+D18+F18+G18+H18+I18+J18</f>
        <v/>
      </c>
      <c r="M18" s="19">
        <f>C18+E18+F18+G18+H18+I18+K18</f>
        <v/>
      </c>
      <c r="N18" s="19">
        <f>B18-L18</f>
        <v/>
      </c>
      <c r="O18" s="19">
        <f>B18-M18</f>
        <v/>
      </c>
      <c r="P18" s="19">
        <f>IF(ABS(N18)&gt;0, (O18-N18)/ABS(N18)*100, 0)</f>
        <v/>
      </c>
      <c r="Q18" s="19">
        <f>N18*Product_Data!E18</f>
        <v/>
      </c>
      <c r="R18" s="19">
        <f>O18*Product_Data!E18</f>
        <v/>
      </c>
    </row>
    <row r="19">
      <c r="A19" s="20" t="inlineStr">
        <is>
          <t>Aqua Glow Face Wash With Himalayan Thermal Water and Hyaluronic Acid for Intense Hydration - 100ml</t>
        </is>
      </c>
      <c r="B19" s="21">
        <f>Product_Data!C19</f>
        <v/>
      </c>
      <c r="C19" s="21">
        <f>Product_Data!F19</f>
        <v/>
      </c>
      <c r="D19" s="21">
        <f>IF(B19&lt;=300, 0, IF(B19&lt;=500, B19*Parameters!B2, B19*Parameters!B3))</f>
        <v/>
      </c>
      <c r="E19" s="21">
        <f>IF(B19&lt;=250, 0, Parameters!B4)</f>
        <v/>
      </c>
      <c r="F19" s="21">
        <f>B19*Parameters!B5</f>
        <v/>
      </c>
      <c r="G19" s="21">
        <f>Product_Data!G19</f>
        <v/>
      </c>
      <c r="H19" s="21">
        <f>Parameters!B6</f>
        <v/>
      </c>
      <c r="I19" s="21">
        <f>Parameters!B7</f>
        <v/>
      </c>
      <c r="J19" s="21">
        <f>Parameters!B8</f>
        <v/>
      </c>
      <c r="K19" s="21">
        <f>Parameters!B9</f>
        <v/>
      </c>
      <c r="L19" s="21">
        <f>C19+D19+F19+G19+H19+I19+J19</f>
        <v/>
      </c>
      <c r="M19" s="21">
        <f>C19+E19+F19+G19+H19+I19+K19</f>
        <v/>
      </c>
      <c r="N19" s="21">
        <f>B19-L19</f>
        <v/>
      </c>
      <c r="O19" s="21">
        <f>B19-M19</f>
        <v/>
      </c>
      <c r="P19" s="21">
        <f>IF(ABS(N19)&gt;0, (O19-N19)/ABS(N19)*100, 0)</f>
        <v/>
      </c>
      <c r="Q19" s="21">
        <f>N19*Product_Data!E19</f>
        <v/>
      </c>
      <c r="R19" s="21">
        <f>O19*Product_Data!E19</f>
        <v/>
      </c>
    </row>
    <row r="20">
      <c r="A20" s="18" t="inlineStr">
        <is>
          <t>Honey Malai Cold Cream with Honey &amp; Malai For Nourishing Glow - 200 g</t>
        </is>
      </c>
      <c r="B20" s="19">
        <f>Product_Data!C20</f>
        <v/>
      </c>
      <c r="C20" s="19">
        <f>Product_Data!F20</f>
        <v/>
      </c>
      <c r="D20" s="19">
        <f>IF(B20&lt;=300, 0, IF(B20&lt;=500, B20*Parameters!B2, B20*Parameters!B3))</f>
        <v/>
      </c>
      <c r="E20" s="19">
        <f>IF(B20&lt;=250, 0, Parameters!B4)</f>
        <v/>
      </c>
      <c r="F20" s="19">
        <f>B20*Parameters!B5</f>
        <v/>
      </c>
      <c r="G20" s="19">
        <f>Product_Data!G20</f>
        <v/>
      </c>
      <c r="H20" s="19">
        <f>Parameters!B6</f>
        <v/>
      </c>
      <c r="I20" s="19">
        <f>Parameters!B7</f>
        <v/>
      </c>
      <c r="J20" s="19">
        <f>Parameters!B8</f>
        <v/>
      </c>
      <c r="K20" s="19">
        <f>Parameters!B9</f>
        <v/>
      </c>
      <c r="L20" s="19">
        <f>C20+D20+F20+G20+H20+I20+J20</f>
        <v/>
      </c>
      <c r="M20" s="19">
        <f>C20+E20+F20+G20+H20+I20+K20</f>
        <v/>
      </c>
      <c r="N20" s="19">
        <f>B20-L20</f>
        <v/>
      </c>
      <c r="O20" s="19">
        <f>B20-M20</f>
        <v/>
      </c>
      <c r="P20" s="19">
        <f>IF(ABS(N20)&gt;0, (O20-N20)/ABS(N20)*100, 0)</f>
        <v/>
      </c>
      <c r="Q20" s="19">
        <f>N20*Product_Data!E20</f>
        <v/>
      </c>
      <c r="R20" s="19">
        <f>O20*Product_Data!E20</f>
        <v/>
      </c>
    </row>
    <row r="21">
      <c r="A21" s="20" t="inlineStr">
        <is>
          <t>Mamaearth Bye Bye Blemishes Face Cream - 30g</t>
        </is>
      </c>
      <c r="B21" s="21">
        <f>Product_Data!C21</f>
        <v/>
      </c>
      <c r="C21" s="21">
        <f>Product_Data!F21</f>
        <v/>
      </c>
      <c r="D21" s="21">
        <f>IF(B21&lt;=300, 0, IF(B21&lt;=500, B21*Parameters!B2, B21*Parameters!B3))</f>
        <v/>
      </c>
      <c r="E21" s="21">
        <f>IF(B21&lt;=250, 0, Parameters!B4)</f>
        <v/>
      </c>
      <c r="F21" s="21">
        <f>B21*Parameters!B5</f>
        <v/>
      </c>
      <c r="G21" s="21">
        <f>Product_Data!G21</f>
        <v/>
      </c>
      <c r="H21" s="21">
        <f>Parameters!B6</f>
        <v/>
      </c>
      <c r="I21" s="21">
        <f>Parameters!B7</f>
        <v/>
      </c>
      <c r="J21" s="21">
        <f>Parameters!B8</f>
        <v/>
      </c>
      <c r="K21" s="21">
        <f>Parameters!B9</f>
        <v/>
      </c>
      <c r="L21" s="21">
        <f>C21+D21+F21+G21+H21+I21+J21</f>
        <v/>
      </c>
      <c r="M21" s="21">
        <f>C21+E21+F21+G21+H21+I21+K21</f>
        <v/>
      </c>
      <c r="N21" s="21">
        <f>B21-L21</f>
        <v/>
      </c>
      <c r="O21" s="21">
        <f>B21-M21</f>
        <v/>
      </c>
      <c r="P21" s="21">
        <f>IF(ABS(N21)&gt;0, (O21-N21)/ABS(N21)*100, 0)</f>
        <v/>
      </c>
      <c r="Q21" s="21">
        <f>N21*Product_Data!E21</f>
        <v/>
      </c>
      <c r="R21" s="21">
        <f>O21*Product_Data!E21</f>
        <v/>
      </c>
    </row>
    <row r="22">
      <c r="A22" s="18" t="inlineStr">
        <is>
          <t>Mamaearth Vitamin C Face Serum</t>
        </is>
      </c>
      <c r="B22" s="19">
        <f>Product_Data!C22</f>
        <v/>
      </c>
      <c r="C22" s="19">
        <f>Product_Data!F22</f>
        <v/>
      </c>
      <c r="D22" s="19">
        <f>IF(B22&lt;=300, 0, IF(B22&lt;=500, B22*Parameters!B2, B22*Parameters!B3))</f>
        <v/>
      </c>
      <c r="E22" s="19">
        <f>IF(B22&lt;=250, 0, Parameters!B4)</f>
        <v/>
      </c>
      <c r="F22" s="19">
        <f>B22*Parameters!B5</f>
        <v/>
      </c>
      <c r="G22" s="19">
        <f>Product_Data!G22</f>
        <v/>
      </c>
      <c r="H22" s="19">
        <f>Parameters!B6</f>
        <v/>
      </c>
      <c r="I22" s="19">
        <f>Parameters!B7</f>
        <v/>
      </c>
      <c r="J22" s="19">
        <f>Parameters!B8</f>
        <v/>
      </c>
      <c r="K22" s="19">
        <f>Parameters!B9</f>
        <v/>
      </c>
      <c r="L22" s="19">
        <f>C22+D22+F22+G22+H22+I22+J22</f>
        <v/>
      </c>
      <c r="M22" s="19">
        <f>C22+E22+F22+G22+H22+I22+K22</f>
        <v/>
      </c>
      <c r="N22" s="19">
        <f>B22-L22</f>
        <v/>
      </c>
      <c r="O22" s="19">
        <f>B22-M22</f>
        <v/>
      </c>
      <c r="P22" s="19">
        <f>IF(ABS(N22)&gt;0, (O22-N22)/ABS(N22)*100, 0)</f>
        <v/>
      </c>
      <c r="Q22" s="19">
        <f>N22*Product_Data!E22</f>
        <v/>
      </c>
      <c r="R22" s="19">
        <f>O22*Product_Data!E22</f>
        <v/>
      </c>
    </row>
    <row r="23">
      <c r="A23" s="20" t="inlineStr">
        <is>
          <t>Mamaearth Niacinamide Face Serum</t>
        </is>
      </c>
      <c r="B23" s="21">
        <f>Product_Data!C23</f>
        <v/>
      </c>
      <c r="C23" s="21">
        <f>Product_Data!F23</f>
        <v/>
      </c>
      <c r="D23" s="21">
        <f>IF(B23&lt;=300, 0, IF(B23&lt;=500, B23*Parameters!B2, B23*Parameters!B3))</f>
        <v/>
      </c>
      <c r="E23" s="21">
        <f>IF(B23&lt;=250, 0, Parameters!B4)</f>
        <v/>
      </c>
      <c r="F23" s="21">
        <f>B23*Parameters!B5</f>
        <v/>
      </c>
      <c r="G23" s="21">
        <f>Product_Data!G23</f>
        <v/>
      </c>
      <c r="H23" s="21">
        <f>Parameters!B6</f>
        <v/>
      </c>
      <c r="I23" s="21">
        <f>Parameters!B7</f>
        <v/>
      </c>
      <c r="J23" s="21">
        <f>Parameters!B8</f>
        <v/>
      </c>
      <c r="K23" s="21">
        <f>Parameters!B9</f>
        <v/>
      </c>
      <c r="L23" s="21">
        <f>C23+D23+F23+G23+H23+I23+J23</f>
        <v/>
      </c>
      <c r="M23" s="21">
        <f>C23+E23+F23+G23+H23+I23+K23</f>
        <v/>
      </c>
      <c r="N23" s="21">
        <f>B23-L23</f>
        <v/>
      </c>
      <c r="O23" s="21">
        <f>B23-M23</f>
        <v/>
      </c>
      <c r="P23" s="21">
        <f>IF(ABS(N23)&gt;0, (O23-N23)/ABS(N23)*100, 0)</f>
        <v/>
      </c>
      <c r="Q23" s="21">
        <f>N23*Product_Data!E23</f>
        <v/>
      </c>
      <c r="R23" s="21">
        <f>O23*Product_Data!E23</f>
        <v/>
      </c>
    </row>
    <row r="24">
      <c r="A24" s="18" t="inlineStr">
        <is>
          <t>Mamaearth Hyaluronic Acid Serum</t>
        </is>
      </c>
      <c r="B24" s="19">
        <f>Product_Data!C24</f>
        <v/>
      </c>
      <c r="C24" s="19">
        <f>Product_Data!F24</f>
        <v/>
      </c>
      <c r="D24" s="19">
        <f>IF(B24&lt;=300, 0, IF(B24&lt;=500, B24*Parameters!B2, B24*Parameters!B3))</f>
        <v/>
      </c>
      <c r="E24" s="19">
        <f>IF(B24&lt;=250, 0, Parameters!B4)</f>
        <v/>
      </c>
      <c r="F24" s="19">
        <f>B24*Parameters!B5</f>
        <v/>
      </c>
      <c r="G24" s="19">
        <f>Product_Data!G24</f>
        <v/>
      </c>
      <c r="H24" s="19">
        <f>Parameters!B6</f>
        <v/>
      </c>
      <c r="I24" s="19">
        <f>Parameters!B7</f>
        <v/>
      </c>
      <c r="J24" s="19">
        <f>Parameters!B8</f>
        <v/>
      </c>
      <c r="K24" s="19">
        <f>Parameters!B9</f>
        <v/>
      </c>
      <c r="L24" s="19">
        <f>C24+D24+F24+G24+H24+I24+J24</f>
        <v/>
      </c>
      <c r="M24" s="19">
        <f>C24+E24+F24+G24+H24+I24+K24</f>
        <v/>
      </c>
      <c r="N24" s="19">
        <f>B24-L24</f>
        <v/>
      </c>
      <c r="O24" s="19">
        <f>B24-M24</f>
        <v/>
      </c>
      <c r="P24" s="19">
        <f>IF(ABS(N24)&gt;0, (O24-N24)/ABS(N24)*100, 0)</f>
        <v/>
      </c>
      <c r="Q24" s="19">
        <f>N24*Product_Data!E24</f>
        <v/>
      </c>
      <c r="R24" s="19">
        <f>O24*Product_Data!E24</f>
        <v/>
      </c>
    </row>
    <row r="25">
      <c r="A25" s="20" t="inlineStr">
        <is>
          <t>Mamaearth Rice Face Scrub</t>
        </is>
      </c>
      <c r="B25" s="21">
        <f>Product_Data!C25</f>
        <v/>
      </c>
      <c r="C25" s="21">
        <f>Product_Data!F25</f>
        <v/>
      </c>
      <c r="D25" s="21">
        <f>IF(B25&lt;=300, 0, IF(B25&lt;=500, B25*Parameters!B2, B25*Parameters!B3))</f>
        <v/>
      </c>
      <c r="E25" s="21">
        <f>IF(B25&lt;=250, 0, Parameters!B4)</f>
        <v/>
      </c>
      <c r="F25" s="21">
        <f>B25*Parameters!B5</f>
        <v/>
      </c>
      <c r="G25" s="21">
        <f>Product_Data!G25</f>
        <v/>
      </c>
      <c r="H25" s="21">
        <f>Parameters!B6</f>
        <v/>
      </c>
      <c r="I25" s="21">
        <f>Parameters!B7</f>
        <v/>
      </c>
      <c r="J25" s="21">
        <f>Parameters!B8</f>
        <v/>
      </c>
      <c r="K25" s="21">
        <f>Parameters!B9</f>
        <v/>
      </c>
      <c r="L25" s="21">
        <f>C25+D25+F25+G25+H25+I25+J25</f>
        <v/>
      </c>
      <c r="M25" s="21">
        <f>C25+E25+F25+G25+H25+I25+K25</f>
        <v/>
      </c>
      <c r="N25" s="21">
        <f>B25-L25</f>
        <v/>
      </c>
      <c r="O25" s="21">
        <f>B25-M25</f>
        <v/>
      </c>
      <c r="P25" s="21">
        <f>IF(ABS(N25)&gt;0, (O25-N25)/ABS(N25)*100, 0)</f>
        <v/>
      </c>
      <c r="Q25" s="21">
        <f>N25*Product_Data!E25</f>
        <v/>
      </c>
      <c r="R25" s="21">
        <f>O25*Product_Data!E25</f>
        <v/>
      </c>
    </row>
    <row r="26">
      <c r="A26" s="18" t="inlineStr">
        <is>
          <t>Mamaearth Ubtan Face Scrub</t>
        </is>
      </c>
      <c r="B26" s="19">
        <f>Product_Data!C26</f>
        <v/>
      </c>
      <c r="C26" s="19">
        <f>Product_Data!F26</f>
        <v/>
      </c>
      <c r="D26" s="19">
        <f>IF(B26&lt;=300, 0, IF(B26&lt;=500, B26*Parameters!B2, B26*Parameters!B3))</f>
        <v/>
      </c>
      <c r="E26" s="19">
        <f>IF(B26&lt;=250, 0, Parameters!B4)</f>
        <v/>
      </c>
      <c r="F26" s="19">
        <f>B26*Parameters!B5</f>
        <v/>
      </c>
      <c r="G26" s="19">
        <f>Product_Data!G26</f>
        <v/>
      </c>
      <c r="H26" s="19">
        <f>Parameters!B6</f>
        <v/>
      </c>
      <c r="I26" s="19">
        <f>Parameters!B7</f>
        <v/>
      </c>
      <c r="J26" s="19">
        <f>Parameters!B8</f>
        <v/>
      </c>
      <c r="K26" s="19">
        <f>Parameters!B9</f>
        <v/>
      </c>
      <c r="L26" s="19">
        <f>C26+D26+F26+G26+H26+I26+J26</f>
        <v/>
      </c>
      <c r="M26" s="19">
        <f>C26+E26+F26+G26+H26+I26+K26</f>
        <v/>
      </c>
      <c r="N26" s="19">
        <f>B26-L26</f>
        <v/>
      </c>
      <c r="O26" s="19">
        <f>B26-M26</f>
        <v/>
      </c>
      <c r="P26" s="19">
        <f>IF(ABS(N26)&gt;0, (O26-N26)/ABS(N26)*100, 0)</f>
        <v/>
      </c>
      <c r="Q26" s="19">
        <f>N26*Product_Data!E26</f>
        <v/>
      </c>
      <c r="R26" s="19">
        <f>O26*Product_Data!E26</f>
        <v/>
      </c>
    </row>
    <row r="27">
      <c r="A27" s="20" t="inlineStr">
        <is>
          <t>Mamaearth Charcoal Face Mask - 200g</t>
        </is>
      </c>
      <c r="B27" s="21">
        <f>Product_Data!C27</f>
        <v/>
      </c>
      <c r="C27" s="21">
        <f>Product_Data!F27</f>
        <v/>
      </c>
      <c r="D27" s="21">
        <f>IF(B27&lt;=300, 0, IF(B27&lt;=500, B27*Parameters!B2, B27*Parameters!B3))</f>
        <v/>
      </c>
      <c r="E27" s="21">
        <f>IF(B27&lt;=250, 0, Parameters!B4)</f>
        <v/>
      </c>
      <c r="F27" s="21">
        <f>B27*Parameters!B5</f>
        <v/>
      </c>
      <c r="G27" s="21">
        <f>Product_Data!G27</f>
        <v/>
      </c>
      <c r="H27" s="21">
        <f>Parameters!B6</f>
        <v/>
      </c>
      <c r="I27" s="21">
        <f>Parameters!B7</f>
        <v/>
      </c>
      <c r="J27" s="21">
        <f>Parameters!B8</f>
        <v/>
      </c>
      <c r="K27" s="21">
        <f>Parameters!B9</f>
        <v/>
      </c>
      <c r="L27" s="21">
        <f>C27+D27+F27+G27+H27+I27+J27</f>
        <v/>
      </c>
      <c r="M27" s="21">
        <f>C27+E27+F27+G27+H27+I27+K27</f>
        <v/>
      </c>
      <c r="N27" s="21">
        <f>B27-L27</f>
        <v/>
      </c>
      <c r="O27" s="21">
        <f>B27-M27</f>
        <v/>
      </c>
      <c r="P27" s="21">
        <f>IF(ABS(N27)&gt;0, (O27-N27)/ABS(N27)*100, 0)</f>
        <v/>
      </c>
      <c r="Q27" s="21">
        <f>N27*Product_Data!E27</f>
        <v/>
      </c>
      <c r="R27" s="21">
        <f>O27*Product_Data!E27</f>
        <v/>
      </c>
    </row>
    <row r="28">
      <c r="A28" s="18" t="inlineStr">
        <is>
          <t>Vitamin C Daily Glow Face Serum - 10ml</t>
        </is>
      </c>
      <c r="B28" s="19">
        <f>Product_Data!C28</f>
        <v/>
      </c>
      <c r="C28" s="19">
        <f>Product_Data!F28</f>
        <v/>
      </c>
      <c r="D28" s="19">
        <f>IF(B28&lt;=300, 0, IF(B28&lt;=500, B28*Parameters!B2, B28*Parameters!B3))</f>
        <v/>
      </c>
      <c r="E28" s="19">
        <f>IF(B28&lt;=250, 0, Parameters!B4)</f>
        <v/>
      </c>
      <c r="F28" s="19">
        <f>B28*Parameters!B5</f>
        <v/>
      </c>
      <c r="G28" s="19">
        <f>Product_Data!G28</f>
        <v/>
      </c>
      <c r="H28" s="19">
        <f>Parameters!B6</f>
        <v/>
      </c>
      <c r="I28" s="19">
        <f>Parameters!B7</f>
        <v/>
      </c>
      <c r="J28" s="19">
        <f>Parameters!B8</f>
        <v/>
      </c>
      <c r="K28" s="19">
        <f>Parameters!B9</f>
        <v/>
      </c>
      <c r="L28" s="19">
        <f>C28+D28+F28+G28+H28+I28+J28</f>
        <v/>
      </c>
      <c r="M28" s="19">
        <f>C28+E28+F28+G28+H28+I28+K28</f>
        <v/>
      </c>
      <c r="N28" s="19">
        <f>B28-L28</f>
        <v/>
      </c>
      <c r="O28" s="19">
        <f>B28-M28</f>
        <v/>
      </c>
      <c r="P28" s="19">
        <f>IF(ABS(N28)&gt;0, (O28-N28)/ABS(N28)*100, 0)</f>
        <v/>
      </c>
      <c r="Q28" s="19">
        <f>N28*Product_Data!E28</f>
        <v/>
      </c>
      <c r="R28" s="19">
        <f>O28*Product_Data!E28</f>
        <v/>
      </c>
    </row>
    <row r="29">
      <c r="A29" s="20" t="inlineStr">
        <is>
          <t>Mamaearth Vitamin C Body Lotion</t>
        </is>
      </c>
      <c r="B29" s="21">
        <f>Product_Data!C29</f>
        <v/>
      </c>
      <c r="C29" s="21">
        <f>Product_Data!F29</f>
        <v/>
      </c>
      <c r="D29" s="21">
        <f>IF(B29&lt;=300, 0, IF(B29&lt;=500, B29*Parameters!B2, B29*Parameters!B3))</f>
        <v/>
      </c>
      <c r="E29" s="21">
        <f>IF(B29&lt;=250, 0, Parameters!B4)</f>
        <v/>
      </c>
      <c r="F29" s="21">
        <f>B29*Parameters!B5</f>
        <v/>
      </c>
      <c r="G29" s="21">
        <f>Product_Data!G29</f>
        <v/>
      </c>
      <c r="H29" s="21">
        <f>Parameters!B6</f>
        <v/>
      </c>
      <c r="I29" s="21">
        <f>Parameters!B7</f>
        <v/>
      </c>
      <c r="J29" s="21">
        <f>Parameters!B8</f>
        <v/>
      </c>
      <c r="K29" s="21">
        <f>Parameters!B9</f>
        <v/>
      </c>
      <c r="L29" s="21">
        <f>C29+D29+F29+G29+H29+I29+J29</f>
        <v/>
      </c>
      <c r="M29" s="21">
        <f>C29+E29+F29+G29+H29+I29+K29</f>
        <v/>
      </c>
      <c r="N29" s="21">
        <f>B29-L29</f>
        <v/>
      </c>
      <c r="O29" s="21">
        <f>B29-M29</f>
        <v/>
      </c>
      <c r="P29" s="21">
        <f>IF(ABS(N29)&gt;0, (O29-N29)/ABS(N29)*100, 0)</f>
        <v/>
      </c>
      <c r="Q29" s="21">
        <f>N29*Product_Data!E29</f>
        <v/>
      </c>
      <c r="R29" s="21">
        <f>O29*Product_Data!E29</f>
        <v/>
      </c>
    </row>
    <row r="30">
      <c r="A30" s="18" t="inlineStr">
        <is>
          <t>Mamaearth Ubtan Body Lotion</t>
        </is>
      </c>
      <c r="B30" s="19">
        <f>Product_Data!C30</f>
        <v/>
      </c>
      <c r="C30" s="19">
        <f>Product_Data!F30</f>
        <v/>
      </c>
      <c r="D30" s="19">
        <f>IF(B30&lt;=300, 0, IF(B30&lt;=500, B30*Parameters!B2, B30*Parameters!B3))</f>
        <v/>
      </c>
      <c r="E30" s="19">
        <f>IF(B30&lt;=250, 0, Parameters!B4)</f>
        <v/>
      </c>
      <c r="F30" s="19">
        <f>B30*Parameters!B5</f>
        <v/>
      </c>
      <c r="G30" s="19">
        <f>Product_Data!G30</f>
        <v/>
      </c>
      <c r="H30" s="19">
        <f>Parameters!B6</f>
        <v/>
      </c>
      <c r="I30" s="19">
        <f>Parameters!B7</f>
        <v/>
      </c>
      <c r="J30" s="19">
        <f>Parameters!B8</f>
        <v/>
      </c>
      <c r="K30" s="19">
        <f>Parameters!B9</f>
        <v/>
      </c>
      <c r="L30" s="19">
        <f>C30+D30+F30+G30+H30+I30+J30</f>
        <v/>
      </c>
      <c r="M30" s="19">
        <f>C30+E30+F30+G30+H30+I30+K30</f>
        <v/>
      </c>
      <c r="N30" s="19">
        <f>B30-L30</f>
        <v/>
      </c>
      <c r="O30" s="19">
        <f>B30-M30</f>
        <v/>
      </c>
      <c r="P30" s="19">
        <f>IF(ABS(N30)&gt;0, (O30-N30)/ABS(N30)*100, 0)</f>
        <v/>
      </c>
      <c r="Q30" s="19">
        <f>N30*Product_Data!E30</f>
        <v/>
      </c>
      <c r="R30" s="19">
        <f>O30*Product_Data!E30</f>
        <v/>
      </c>
    </row>
    <row r="31">
      <c r="A31" s="20" t="inlineStr">
        <is>
          <t>Mamaearth Cocoa Rich Moisturizing Body Lotion with Cocoa Butter &amp; Vitamin E for Intense Moisturization - 400 ml</t>
        </is>
      </c>
      <c r="B31" s="21">
        <f>Product_Data!C31</f>
        <v/>
      </c>
      <c r="C31" s="21">
        <f>Product_Data!F31</f>
        <v/>
      </c>
      <c r="D31" s="21">
        <f>IF(B31&lt;=300, 0, IF(B31&lt;=500, B31*Parameters!B2, B31*Parameters!B3))</f>
        <v/>
      </c>
      <c r="E31" s="21">
        <f>IF(B31&lt;=250, 0, Parameters!B4)</f>
        <v/>
      </c>
      <c r="F31" s="21">
        <f>B31*Parameters!B5</f>
        <v/>
      </c>
      <c r="G31" s="21">
        <f>Product_Data!G31</f>
        <v/>
      </c>
      <c r="H31" s="21">
        <f>Parameters!B6</f>
        <v/>
      </c>
      <c r="I31" s="21">
        <f>Parameters!B7</f>
        <v/>
      </c>
      <c r="J31" s="21">
        <f>Parameters!B8</f>
        <v/>
      </c>
      <c r="K31" s="21">
        <f>Parameters!B9</f>
        <v/>
      </c>
      <c r="L31" s="21">
        <f>C31+D31+F31+G31+H31+I31+J31</f>
        <v/>
      </c>
      <c r="M31" s="21">
        <f>C31+E31+F31+G31+H31+I31+K31</f>
        <v/>
      </c>
      <c r="N31" s="21">
        <f>B31-L31</f>
        <v/>
      </c>
      <c r="O31" s="21">
        <f>B31-M31</f>
        <v/>
      </c>
      <c r="P31" s="21">
        <f>IF(ABS(N31)&gt;0, (O31-N31)/ABS(N31)*100, 0)</f>
        <v/>
      </c>
      <c r="Q31" s="21">
        <f>N31*Product_Data!E31</f>
        <v/>
      </c>
      <c r="R31" s="21">
        <f>O31*Product_Data!E31</f>
        <v/>
      </c>
    </row>
    <row r="32">
      <c r="A32" s="18" t="inlineStr">
        <is>
          <t>Mamaearth Tea Tree Body Wash With Tea Tree and Neem For Skin Purification - 300 ml</t>
        </is>
      </c>
      <c r="B32" s="19">
        <f>Product_Data!C32</f>
        <v/>
      </c>
      <c r="C32" s="19">
        <f>Product_Data!F32</f>
        <v/>
      </c>
      <c r="D32" s="19">
        <f>IF(B32&lt;=300, 0, IF(B32&lt;=500, B32*Parameters!B2, B32*Parameters!B3))</f>
        <v/>
      </c>
      <c r="E32" s="19">
        <f>IF(B32&lt;=250, 0, Parameters!B4)</f>
        <v/>
      </c>
      <c r="F32" s="19">
        <f>B32*Parameters!B5</f>
        <v/>
      </c>
      <c r="G32" s="19">
        <f>Product_Data!G32</f>
        <v/>
      </c>
      <c r="H32" s="19">
        <f>Parameters!B6</f>
        <v/>
      </c>
      <c r="I32" s="19">
        <f>Parameters!B7</f>
        <v/>
      </c>
      <c r="J32" s="19">
        <f>Parameters!B8</f>
        <v/>
      </c>
      <c r="K32" s="19">
        <f>Parameters!B9</f>
        <v/>
      </c>
      <c r="L32" s="19">
        <f>C32+D32+F32+G32+H32+I32+J32</f>
        <v/>
      </c>
      <c r="M32" s="19">
        <f>C32+E32+F32+G32+H32+I32+K32</f>
        <v/>
      </c>
      <c r="N32" s="19">
        <f>B32-L32</f>
        <v/>
      </c>
      <c r="O32" s="19">
        <f>B32-M32</f>
        <v/>
      </c>
      <c r="P32" s="19">
        <f>IF(ABS(N32)&gt;0, (O32-N32)/ABS(N32)*100, 0)</f>
        <v/>
      </c>
      <c r="Q32" s="19">
        <f>N32*Product_Data!E32</f>
        <v/>
      </c>
      <c r="R32" s="19">
        <f>O32*Product_Data!E32</f>
        <v/>
      </c>
    </row>
    <row r="33">
      <c r="A33" s="20" t="inlineStr">
        <is>
          <t>Milky Soft Shampoo with Oats, Milk and Calendula for Babies - 400 ml</t>
        </is>
      </c>
      <c r="B33" s="21">
        <f>Product_Data!C33</f>
        <v/>
      </c>
      <c r="C33" s="21">
        <f>Product_Data!F33</f>
        <v/>
      </c>
      <c r="D33" s="21">
        <f>IF(B33&lt;=300, 0, IF(B33&lt;=500, B33*Parameters!B2, B33*Parameters!B3))</f>
        <v/>
      </c>
      <c r="E33" s="21">
        <f>IF(B33&lt;=250, 0, Parameters!B4)</f>
        <v/>
      </c>
      <c r="F33" s="21">
        <f>B33*Parameters!B5</f>
        <v/>
      </c>
      <c r="G33" s="21">
        <f>Product_Data!G33</f>
        <v/>
      </c>
      <c r="H33" s="21">
        <f>Parameters!B6</f>
        <v/>
      </c>
      <c r="I33" s="21">
        <f>Parameters!B7</f>
        <v/>
      </c>
      <c r="J33" s="21">
        <f>Parameters!B8</f>
        <v/>
      </c>
      <c r="K33" s="21">
        <f>Parameters!B9</f>
        <v/>
      </c>
      <c r="L33" s="21">
        <f>C33+D33+F33+G33+H33+I33+J33</f>
        <v/>
      </c>
      <c r="M33" s="21">
        <f>C33+E33+F33+G33+H33+I33+K33</f>
        <v/>
      </c>
      <c r="N33" s="21">
        <f>B33-L33</f>
        <v/>
      </c>
      <c r="O33" s="21">
        <f>B33-M33</f>
        <v/>
      </c>
      <c r="P33" s="21">
        <f>IF(ABS(N33)&gt;0, (O33-N33)/ABS(N33)*100, 0)</f>
        <v/>
      </c>
      <c r="Q33" s="21">
        <f>N33*Product_Data!E33</f>
        <v/>
      </c>
      <c r="R33" s="21">
        <f>O33*Product_Data!E33</f>
        <v/>
      </c>
    </row>
    <row r="34">
      <c r="A34" s="18" t="inlineStr">
        <is>
          <t>Milky Soft Body Lotion for Babies with Oats, Milk &amp; Calendula – 200ml</t>
        </is>
      </c>
      <c r="B34" s="19">
        <f>Product_Data!C34</f>
        <v/>
      </c>
      <c r="C34" s="19">
        <f>Product_Data!F34</f>
        <v/>
      </c>
      <c r="D34" s="19">
        <f>IF(B34&lt;=300, 0, IF(B34&lt;=500, B34*Parameters!B2, B34*Parameters!B3))</f>
        <v/>
      </c>
      <c r="E34" s="19">
        <f>IF(B34&lt;=250, 0, Parameters!B4)</f>
        <v/>
      </c>
      <c r="F34" s="19">
        <f>B34*Parameters!B5</f>
        <v/>
      </c>
      <c r="G34" s="19">
        <f>Product_Data!G34</f>
        <v/>
      </c>
      <c r="H34" s="19">
        <f>Parameters!B6</f>
        <v/>
      </c>
      <c r="I34" s="19">
        <f>Parameters!B7</f>
        <v/>
      </c>
      <c r="J34" s="19">
        <f>Parameters!B8</f>
        <v/>
      </c>
      <c r="K34" s="19">
        <f>Parameters!B9</f>
        <v/>
      </c>
      <c r="L34" s="19">
        <f>C34+D34+F34+G34+H34+I34+J34</f>
        <v/>
      </c>
      <c r="M34" s="19">
        <f>C34+E34+F34+G34+H34+I34+K34</f>
        <v/>
      </c>
      <c r="N34" s="19">
        <f>B34-L34</f>
        <v/>
      </c>
      <c r="O34" s="19">
        <f>B34-M34</f>
        <v/>
      </c>
      <c r="P34" s="19">
        <f>IF(ABS(N34)&gt;0, (O34-N34)/ABS(N34)*100, 0)</f>
        <v/>
      </c>
      <c r="Q34" s="19">
        <f>N34*Product_Data!E34</f>
        <v/>
      </c>
      <c r="R34" s="19">
        <f>O34*Product_Data!E34</f>
        <v/>
      </c>
    </row>
    <row r="35">
      <c r="A35" s="20" t="inlineStr">
        <is>
          <t>Moisturizing Bathing Bar Soap For Babies, pack of 2*75g</t>
        </is>
      </c>
      <c r="B35" s="21">
        <f>Product_Data!C35</f>
        <v/>
      </c>
      <c r="C35" s="21">
        <f>Product_Data!F35</f>
        <v/>
      </c>
      <c r="D35" s="21">
        <f>IF(B35&lt;=300, 0, IF(B35&lt;=500, B35*Parameters!B2, B35*Parameters!B3))</f>
        <v/>
      </c>
      <c r="E35" s="21">
        <f>IF(B35&lt;=250, 0, Parameters!B4)</f>
        <v/>
      </c>
      <c r="F35" s="21">
        <f>B35*Parameters!B5</f>
        <v/>
      </c>
      <c r="G35" s="21">
        <f>Product_Data!G35</f>
        <v/>
      </c>
      <c r="H35" s="21">
        <f>Parameters!B6</f>
        <v/>
      </c>
      <c r="I35" s="21">
        <f>Parameters!B7</f>
        <v/>
      </c>
      <c r="J35" s="21">
        <f>Parameters!B8</f>
        <v/>
      </c>
      <c r="K35" s="21">
        <f>Parameters!B9</f>
        <v/>
      </c>
      <c r="L35" s="21">
        <f>C35+D35+F35+G35+H35+I35+J35</f>
        <v/>
      </c>
      <c r="M35" s="21">
        <f>C35+E35+F35+G35+H35+I35+K35</f>
        <v/>
      </c>
      <c r="N35" s="21">
        <f>B35-L35</f>
        <v/>
      </c>
      <c r="O35" s="21">
        <f>B35-M35</f>
        <v/>
      </c>
      <c r="P35" s="21">
        <f>IF(ABS(N35)&gt;0, (O35-N35)/ABS(N35)*100, 0)</f>
        <v/>
      </c>
      <c r="Q35" s="21">
        <f>N35*Product_Data!E35</f>
        <v/>
      </c>
      <c r="R35" s="21">
        <f>O35*Product_Data!E35</f>
        <v/>
      </c>
    </row>
    <row r="36">
      <c r="A36" s="18" t="inlineStr">
        <is>
          <t>Mamaearth Lip Balm</t>
        </is>
      </c>
      <c r="B36" s="19">
        <f>Product_Data!C36</f>
        <v/>
      </c>
      <c r="C36" s="19">
        <f>Product_Data!F36</f>
        <v/>
      </c>
      <c r="D36" s="19">
        <f>IF(B36&lt;=300, 0, IF(B36&lt;=500, B36*Parameters!B2, B36*Parameters!B3))</f>
        <v/>
      </c>
      <c r="E36" s="19">
        <f>IF(B36&lt;=250, 0, Parameters!B4)</f>
        <v/>
      </c>
      <c r="F36" s="19">
        <f>B36*Parameters!B5</f>
        <v/>
      </c>
      <c r="G36" s="19">
        <f>Product_Data!G36</f>
        <v/>
      </c>
      <c r="H36" s="19">
        <f>Parameters!B6</f>
        <v/>
      </c>
      <c r="I36" s="19">
        <f>Parameters!B7</f>
        <v/>
      </c>
      <c r="J36" s="19">
        <f>Parameters!B8</f>
        <v/>
      </c>
      <c r="K36" s="19">
        <f>Parameters!B9</f>
        <v/>
      </c>
      <c r="L36" s="19">
        <f>C36+D36+F36+G36+H36+I36+J36</f>
        <v/>
      </c>
      <c r="M36" s="19">
        <f>C36+E36+F36+G36+H36+I36+K36</f>
        <v/>
      </c>
      <c r="N36" s="19">
        <f>B36-L36</f>
        <v/>
      </c>
      <c r="O36" s="19">
        <f>B36-M36</f>
        <v/>
      </c>
      <c r="P36" s="19">
        <f>IF(ABS(N36)&gt;0, (O36-N36)/ABS(N36)*100, 0)</f>
        <v/>
      </c>
      <c r="Q36" s="19">
        <f>N36*Product_Data!E36</f>
        <v/>
      </c>
      <c r="R36" s="19">
        <f>O36*Product_Data!E36</f>
        <v/>
      </c>
    </row>
    <row r="37">
      <c r="A37" s="20" t="inlineStr">
        <is>
          <t>Mamaearth Tinted Lip Balm</t>
        </is>
      </c>
      <c r="B37" s="21">
        <f>Product_Data!C37</f>
        <v/>
      </c>
      <c r="C37" s="21">
        <f>Product_Data!F37</f>
        <v/>
      </c>
      <c r="D37" s="21">
        <f>IF(B37&lt;=300, 0, IF(B37&lt;=500, B37*Parameters!B2, B37*Parameters!B3))</f>
        <v/>
      </c>
      <c r="E37" s="21">
        <f>IF(B37&lt;=250, 0, Parameters!B4)</f>
        <v/>
      </c>
      <c r="F37" s="21">
        <f>B37*Parameters!B5</f>
        <v/>
      </c>
      <c r="G37" s="21">
        <f>Product_Data!G37</f>
        <v/>
      </c>
      <c r="H37" s="21">
        <f>Parameters!B6</f>
        <v/>
      </c>
      <c r="I37" s="21">
        <f>Parameters!B7</f>
        <v/>
      </c>
      <c r="J37" s="21">
        <f>Parameters!B8</f>
        <v/>
      </c>
      <c r="K37" s="21">
        <f>Parameters!B9</f>
        <v/>
      </c>
      <c r="L37" s="21">
        <f>C37+D37+F37+G37+H37+I37+J37</f>
        <v/>
      </c>
      <c r="M37" s="21">
        <f>C37+E37+F37+G37+H37+I37+K37</f>
        <v/>
      </c>
      <c r="N37" s="21">
        <f>B37-L37</f>
        <v/>
      </c>
      <c r="O37" s="21">
        <f>B37-M37</f>
        <v/>
      </c>
      <c r="P37" s="21">
        <f>IF(ABS(N37)&gt;0, (O37-N37)/ABS(N37)*100, 0)</f>
        <v/>
      </c>
      <c r="Q37" s="21">
        <f>N37*Product_Data!E37</f>
        <v/>
      </c>
      <c r="R37" s="21">
        <f>O37*Product_Data!E37</f>
        <v/>
      </c>
    </row>
    <row r="38">
      <c r="A38" s="18" t="inlineStr">
        <is>
          <t>Mamaearth Under Eye Cream</t>
        </is>
      </c>
      <c r="B38" s="19">
        <f>Product_Data!C38</f>
        <v/>
      </c>
      <c r="C38" s="19">
        <f>Product_Data!F38</f>
        <v/>
      </c>
      <c r="D38" s="19">
        <f>IF(B38&lt;=300, 0, IF(B38&lt;=500, B38*Parameters!B2, B38*Parameters!B3))</f>
        <v/>
      </c>
      <c r="E38" s="19">
        <f>IF(B38&lt;=250, 0, Parameters!B4)</f>
        <v/>
      </c>
      <c r="F38" s="19">
        <f>B38*Parameters!B5</f>
        <v/>
      </c>
      <c r="G38" s="19">
        <f>Product_Data!G38</f>
        <v/>
      </c>
      <c r="H38" s="19">
        <f>Parameters!B6</f>
        <v/>
      </c>
      <c r="I38" s="19">
        <f>Parameters!B7</f>
        <v/>
      </c>
      <c r="J38" s="19">
        <f>Parameters!B8</f>
        <v/>
      </c>
      <c r="K38" s="19">
        <f>Parameters!B9</f>
        <v/>
      </c>
      <c r="L38" s="19">
        <f>C38+D38+F38+G38+H38+I38+J38</f>
        <v/>
      </c>
      <c r="M38" s="19">
        <f>C38+E38+F38+G38+H38+I38+K38</f>
        <v/>
      </c>
      <c r="N38" s="19">
        <f>B38-L38</f>
        <v/>
      </c>
      <c r="O38" s="19">
        <f>B38-M38</f>
        <v/>
      </c>
      <c r="P38" s="19">
        <f>IF(ABS(N38)&gt;0, (O38-N38)/ABS(N38)*100, 0)</f>
        <v/>
      </c>
      <c r="Q38" s="19">
        <f>N38*Product_Data!E38</f>
        <v/>
      </c>
      <c r="R38" s="19">
        <f>O38*Product_Data!E38</f>
        <v/>
      </c>
    </row>
    <row r="39">
      <c r="A39" s="20" t="inlineStr">
        <is>
          <t>Charcoal Black Long Stay Kajal with Vitamin C &amp; Chamomile for 11-Hour Smudge-free Stay</t>
        </is>
      </c>
      <c r="B39" s="21">
        <f>Product_Data!C39</f>
        <v/>
      </c>
      <c r="C39" s="21">
        <f>Product_Data!F39</f>
        <v/>
      </c>
      <c r="D39" s="21">
        <f>IF(B39&lt;=300, 0, IF(B39&lt;=500, B39*Parameters!B2, B39*Parameters!B3))</f>
        <v/>
      </c>
      <c r="E39" s="21">
        <f>IF(B39&lt;=250, 0, Parameters!B4)</f>
        <v/>
      </c>
      <c r="F39" s="21">
        <f>B39*Parameters!B5</f>
        <v/>
      </c>
      <c r="G39" s="21">
        <f>Product_Data!G39</f>
        <v/>
      </c>
      <c r="H39" s="21">
        <f>Parameters!B6</f>
        <v/>
      </c>
      <c r="I39" s="21">
        <f>Parameters!B7</f>
        <v/>
      </c>
      <c r="J39" s="21">
        <f>Parameters!B8</f>
        <v/>
      </c>
      <c r="K39" s="21">
        <f>Parameters!B9</f>
        <v/>
      </c>
      <c r="L39" s="21">
        <f>C39+D39+F39+G39+H39+I39+J39</f>
        <v/>
      </c>
      <c r="M39" s="21">
        <f>C39+E39+F39+G39+H39+I39+K39</f>
        <v/>
      </c>
      <c r="N39" s="21">
        <f>B39-L39</f>
        <v/>
      </c>
      <c r="O39" s="21">
        <f>B39-M39</f>
        <v/>
      </c>
      <c r="P39" s="21">
        <f>IF(ABS(N39)&gt;0, (O39-N39)/ABS(N39)*100, 0)</f>
        <v/>
      </c>
      <c r="Q39" s="21">
        <f>N39*Product_Data!E39</f>
        <v/>
      </c>
      <c r="R39" s="21">
        <f>O39*Product_Data!E39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2" t="inlineStr">
        <is>
          <t>Scenario Parameter Changes (%):</t>
        </is>
      </c>
    </row>
    <row r="2">
      <c r="A2" s="23" t="inlineStr">
        <is>
          <t>CAC Amazon % Change</t>
        </is>
      </c>
      <c r="B2" s="24" t="n">
        <v>0</v>
      </c>
    </row>
    <row r="3">
      <c r="A3" s="23" t="inlineStr">
        <is>
          <t>CAC ONDC % Change</t>
        </is>
      </c>
      <c r="B3" s="24" t="n">
        <v>0</v>
      </c>
    </row>
    <row r="4">
      <c r="A4" s="23" t="inlineStr">
        <is>
          <t>Logistics % Change</t>
        </is>
      </c>
      <c r="B4" s="24" t="n">
        <v>0</v>
      </c>
    </row>
    <row r="5">
      <c r="A5" s="23" t="inlineStr">
        <is>
          <t>ONDC Commission % Change</t>
        </is>
      </c>
      <c r="B5" s="24" t="n">
        <v>0</v>
      </c>
    </row>
    <row r="6">
      <c r="A6" s="25" t="inlineStr">
        <is>
          <t>Note: Profit_Change_vs_Base shows 0% because all scenario parameters are set to 0% change (no adjustments). To see changes, enter percentage values in cells B2-B5 above (e.g., 10% = 0.10, -5% = -0.05).</t>
        </is>
      </c>
    </row>
    <row r="7">
      <c r="A7" s="10" t="inlineStr">
        <is>
          <t>Product_Name</t>
        </is>
      </c>
      <c r="B7" s="10" t="inlineStr">
        <is>
          <t>Base_Profit_ONDC</t>
        </is>
      </c>
      <c r="C7" s="10" t="inlineStr">
        <is>
          <t>Adjusted_CAC_ONDC</t>
        </is>
      </c>
      <c r="D7" s="10" t="inlineStr">
        <is>
          <t>Adjusted_Logistics</t>
        </is>
      </c>
      <c r="E7" s="10" t="inlineStr">
        <is>
          <t>Adjusted_ONDC_Comm</t>
        </is>
      </c>
      <c r="F7" s="10" t="inlineStr">
        <is>
          <t>Adjusted_Total_Cost_ONDC</t>
        </is>
      </c>
      <c r="G7" s="10" t="inlineStr">
        <is>
          <t>Adjusted_Profit_ONDC</t>
        </is>
      </c>
      <c r="H7" s="10" t="inlineStr">
        <is>
          <t>Profit_Change_vs_Base</t>
        </is>
      </c>
    </row>
    <row r="8">
      <c r="A8" s="18" t="inlineStr">
        <is>
          <t>Mamaearth Onion Hair Oil</t>
        </is>
      </c>
      <c r="B8" s="19">
        <f>Unit_Economics!O2</f>
        <v/>
      </c>
      <c r="C8" s="19">
        <f>Parameters!B9*(1+B3)</f>
        <v/>
      </c>
      <c r="D8" s="19">
        <f>Unit_Economics!G2*(1+B4)</f>
        <v/>
      </c>
      <c r="E8" s="19">
        <f>IF(Unit_Economics!B2&lt;=250, 0, Parameters!B4*(1+B5))</f>
        <v/>
      </c>
      <c r="F8" s="19">
        <f>Unit_Economics!C2+E8+Unit_Economics!F2+D8+C8+Parameters!B6+Parameters!B7</f>
        <v/>
      </c>
      <c r="G8" s="19">
        <f>Unit_Economics!B2-F8</f>
        <v/>
      </c>
      <c r="H8" s="19">
        <f>IF(ABS(B8)&gt;0, (G8-B8)/ABS(B8)*100, 0)</f>
        <v/>
      </c>
    </row>
    <row r="9">
      <c r="A9" s="20" t="inlineStr">
        <is>
          <t>Mamaearth Onion Shampoo</t>
        </is>
      </c>
      <c r="B9" s="21">
        <f>Unit_Economics!O3</f>
        <v/>
      </c>
      <c r="C9" s="21">
        <f>Parameters!B9*(1+B3)</f>
        <v/>
      </c>
      <c r="D9" s="21">
        <f>Unit_Economics!G3*(1+B4)</f>
        <v/>
      </c>
      <c r="E9" s="21">
        <f>IF(Unit_Economics!B3&lt;=250, 0, Parameters!B4*(1+B5))</f>
        <v/>
      </c>
      <c r="F9" s="21">
        <f>Unit_Economics!C3+E9+Unit_Economics!F3+D9+C9+Parameters!B6+Parameters!B7</f>
        <v/>
      </c>
      <c r="G9" s="21">
        <f>Unit_Economics!B3-F9</f>
        <v/>
      </c>
      <c r="H9" s="21">
        <f>IF(ABS(B9)&gt;0, (G9-B9)/ABS(B9)*100, 0)</f>
        <v/>
      </c>
    </row>
    <row r="10">
      <c r="A10" s="18" t="inlineStr">
        <is>
          <t>Mamaearth Onion Conditioner</t>
        </is>
      </c>
      <c r="B10" s="19">
        <f>Unit_Economics!O4</f>
        <v/>
      </c>
      <c r="C10" s="19">
        <f>Parameters!B9*(1+B3)</f>
        <v/>
      </c>
      <c r="D10" s="19">
        <f>Unit_Economics!G4*(1+B4)</f>
        <v/>
      </c>
      <c r="E10" s="19">
        <f>IF(Unit_Economics!B4&lt;=250, 0, Parameters!B4*(1+B5))</f>
        <v/>
      </c>
      <c r="F10" s="19">
        <f>Unit_Economics!C4+E10+Unit_Economics!F4+D10+C10+Parameters!B6+Parameters!B7</f>
        <v/>
      </c>
      <c r="G10" s="19">
        <f>Unit_Economics!B4-F10</f>
        <v/>
      </c>
      <c r="H10" s="19">
        <f>IF(ABS(B10)&gt;0, (G10-B10)/ABS(B10)*100, 0)</f>
        <v/>
      </c>
    </row>
    <row r="11">
      <c r="A11" s="20" t="inlineStr">
        <is>
          <t>Rosemary Hair Growth Oil with Rosemary &amp; Methi Dana for Promoting Hair Growth - 100 ml</t>
        </is>
      </c>
      <c r="B11" s="21">
        <f>Unit_Economics!O5</f>
        <v/>
      </c>
      <c r="C11" s="21">
        <f>Parameters!B9*(1+B3)</f>
        <v/>
      </c>
      <c r="D11" s="21">
        <f>Unit_Economics!G5*(1+B4)</f>
        <v/>
      </c>
      <c r="E11" s="21">
        <f>IF(Unit_Economics!B5&lt;=250, 0, Parameters!B4*(1+B5))</f>
        <v/>
      </c>
      <c r="F11" s="21">
        <f>Unit_Economics!C5+E11+Unit_Economics!F5+D11+C11+Parameters!B6+Parameters!B7</f>
        <v/>
      </c>
      <c r="G11" s="21">
        <f>Unit_Economics!B5-F11</f>
        <v/>
      </c>
      <c r="H11" s="21">
        <f>IF(ABS(B11)&gt;0, (G11-B11)/ABS(B11)*100, 0)</f>
        <v/>
      </c>
    </row>
    <row r="12">
      <c r="A12" s="18" t="inlineStr">
        <is>
          <t>Mamaearth Rosemary Shampoo</t>
        </is>
      </c>
      <c r="B12" s="19">
        <f>Unit_Economics!O6</f>
        <v/>
      </c>
      <c r="C12" s="19">
        <f>Parameters!B9*(1+B3)</f>
        <v/>
      </c>
      <c r="D12" s="19">
        <f>Unit_Economics!G6*(1+B4)</f>
        <v/>
      </c>
      <c r="E12" s="19">
        <f>IF(Unit_Economics!B6&lt;=250, 0, Parameters!B4*(1+B5))</f>
        <v/>
      </c>
      <c r="F12" s="19">
        <f>Unit_Economics!C6+E12+Unit_Economics!F6+D12+C12+Parameters!B6+Parameters!B7</f>
        <v/>
      </c>
      <c r="G12" s="19">
        <f>Unit_Economics!B6-F12</f>
        <v/>
      </c>
      <c r="H12" s="19">
        <f>IF(ABS(B12)&gt;0, (G12-B12)/ABS(B12)*100, 0)</f>
        <v/>
      </c>
    </row>
    <row r="13">
      <c r="A13" s="20" t="inlineStr">
        <is>
          <t>Mamaearth Argan Hair Mask</t>
        </is>
      </c>
      <c r="B13" s="21">
        <f>Unit_Economics!O7</f>
        <v/>
      </c>
      <c r="C13" s="21">
        <f>Parameters!B9*(1+B3)</f>
        <v/>
      </c>
      <c r="D13" s="21">
        <f>Unit_Economics!G7*(1+B4)</f>
        <v/>
      </c>
      <c r="E13" s="21">
        <f>IF(Unit_Economics!B7&lt;=250, 0, Parameters!B4*(1+B5))</f>
        <v/>
      </c>
      <c r="F13" s="21">
        <f>Unit_Economics!C7+E13+Unit_Economics!F7+D13+C13+Parameters!B6+Parameters!B7</f>
        <v/>
      </c>
      <c r="G13" s="21">
        <f>Unit_Economics!B7-F13</f>
        <v/>
      </c>
      <c r="H13" s="21">
        <f>IF(ABS(B13)&gt;0, (G13-B13)/ABS(B13)*100, 0)</f>
        <v/>
      </c>
    </row>
    <row r="14">
      <c r="A14" s="18" t="inlineStr">
        <is>
          <t>Mamaearth Onion Hair Growth Serum (50ml)</t>
        </is>
      </c>
      <c r="B14" s="19">
        <f>Unit_Economics!O8</f>
        <v/>
      </c>
      <c r="C14" s="19">
        <f>Parameters!B9*(1+B3)</f>
        <v/>
      </c>
      <c r="D14" s="19">
        <f>Unit_Economics!G8*(1+B4)</f>
        <v/>
      </c>
      <c r="E14" s="19">
        <f>IF(Unit_Economics!B8&lt;=250, 0, Parameters!B4*(1+B5))</f>
        <v/>
      </c>
      <c r="F14" s="19">
        <f>Unit_Economics!C8+E14+Unit_Economics!F8+D14+C14+Parameters!B6+Parameters!B7</f>
        <v/>
      </c>
      <c r="G14" s="19">
        <f>Unit_Economics!B8-F14</f>
        <v/>
      </c>
      <c r="H14" s="19">
        <f>IF(ABS(B14)&gt;0, (G14-B14)/ABS(B14)*100, 0)</f>
        <v/>
      </c>
    </row>
    <row r="15">
      <c r="A15" s="20" t="inlineStr">
        <is>
          <t>Mamaearth Vitamin C and Turmeric Face Wash</t>
        </is>
      </c>
      <c r="B15" s="21">
        <f>Unit_Economics!O9</f>
        <v/>
      </c>
      <c r="C15" s="21">
        <f>Parameters!B9*(1+B3)</f>
        <v/>
      </c>
      <c r="D15" s="21">
        <f>Unit_Economics!G9*(1+B4)</f>
        <v/>
      </c>
      <c r="E15" s="21">
        <f>IF(Unit_Economics!B9&lt;=250, 0, Parameters!B4*(1+B5))</f>
        <v/>
      </c>
      <c r="F15" s="21">
        <f>Unit_Economics!C9+E15+Unit_Economics!F9+D15+C15+Parameters!B6+Parameters!B7</f>
        <v/>
      </c>
      <c r="G15" s="21">
        <f>Unit_Economics!B9-F15</f>
        <v/>
      </c>
      <c r="H15" s="21">
        <f>IF(ABS(B15)&gt;0, (G15-B15)/ABS(B15)*100, 0)</f>
        <v/>
      </c>
    </row>
    <row r="16">
      <c r="A16" s="18" t="inlineStr">
        <is>
          <t>Ubtan Natural Glow Face Wash with Turmeric &amp; Saffron for Tan Removal – 100 ml</t>
        </is>
      </c>
      <c r="B16" s="19">
        <f>Unit_Economics!O10</f>
        <v/>
      </c>
      <c r="C16" s="19">
        <f>Parameters!B9*(1+B3)</f>
        <v/>
      </c>
      <c r="D16" s="19">
        <f>Unit_Economics!G10*(1+B4)</f>
        <v/>
      </c>
      <c r="E16" s="19">
        <f>IF(Unit_Economics!B10&lt;=250, 0, Parameters!B4*(1+B5))</f>
        <v/>
      </c>
      <c r="F16" s="19">
        <f>Unit_Economics!C10+E16+Unit_Economics!F10+D16+C16+Parameters!B6+Parameters!B7</f>
        <v/>
      </c>
      <c r="G16" s="19">
        <f>Unit_Economics!B10-F16</f>
        <v/>
      </c>
      <c r="H16" s="19">
        <f>IF(ABS(B16)&gt;0, (G16-B16)/ABS(B16)*100, 0)</f>
        <v/>
      </c>
    </row>
    <row r="17">
      <c r="A17" s="20" t="inlineStr">
        <is>
          <t>Tea Tree Pimple Control Face Wash with Tea Tree &amp; Salicylic for Oily &amp; Acne-Prone Skin - 100ml</t>
        </is>
      </c>
      <c r="B17" s="21">
        <f>Unit_Economics!O11</f>
        <v/>
      </c>
      <c r="C17" s="21">
        <f>Parameters!B9*(1+B3)</f>
        <v/>
      </c>
      <c r="D17" s="21">
        <f>Unit_Economics!G11*(1+B4)</f>
        <v/>
      </c>
      <c r="E17" s="21">
        <f>IF(Unit_Economics!B11&lt;=250, 0, Parameters!B4*(1+B5))</f>
        <v/>
      </c>
      <c r="F17" s="21">
        <f>Unit_Economics!C11+E17+Unit_Economics!F11+D17+C17+Parameters!B6+Parameters!B7</f>
        <v/>
      </c>
      <c r="G17" s="21">
        <f>Unit_Economics!B11-F17</f>
        <v/>
      </c>
      <c r="H17" s="21">
        <f>IF(ABS(B17)&gt;0, (G17-B17)/ABS(B17)*100, 0)</f>
        <v/>
      </c>
    </row>
    <row r="18">
      <c r="A18" s="18" t="inlineStr">
        <is>
          <t>Mamaearth Aloe Vera Face Wash</t>
        </is>
      </c>
      <c r="B18" s="19">
        <f>Unit_Economics!O12</f>
        <v/>
      </c>
      <c r="C18" s="19">
        <f>Parameters!B9*(1+B3)</f>
        <v/>
      </c>
      <c r="D18" s="19">
        <f>Unit_Economics!G12*(1+B4)</f>
        <v/>
      </c>
      <c r="E18" s="19">
        <f>IF(Unit_Economics!B12&lt;=250, 0, Parameters!B4*(1+B5))</f>
        <v/>
      </c>
      <c r="F18" s="19">
        <f>Unit_Economics!C12+E18+Unit_Economics!F12+D18+C18+Parameters!B6+Parameters!B7</f>
        <v/>
      </c>
      <c r="G18" s="19">
        <f>Unit_Economics!B12-F18</f>
        <v/>
      </c>
      <c r="H18" s="19">
        <f>IF(ABS(B18)&gt;0, (G18-B18)/ABS(B18)*100, 0)</f>
        <v/>
      </c>
    </row>
    <row r="19">
      <c r="A19" s="20" t="inlineStr">
        <is>
          <t>Rice Dewy Bright Face Wash With Rice Water &amp; Niacinamide for Glass Skin - 200 ml</t>
        </is>
      </c>
      <c r="B19" s="21">
        <f>Unit_Economics!O13</f>
        <v/>
      </c>
      <c r="C19" s="21">
        <f>Parameters!B9*(1+B3)</f>
        <v/>
      </c>
      <c r="D19" s="21">
        <f>Unit_Economics!G13*(1+B4)</f>
        <v/>
      </c>
      <c r="E19" s="21">
        <f>IF(Unit_Economics!B13&lt;=250, 0, Parameters!B4*(1+B5))</f>
        <v/>
      </c>
      <c r="F19" s="21">
        <f>Unit_Economics!C13+E19+Unit_Economics!F13+D19+C19+Parameters!B6+Parameters!B7</f>
        <v/>
      </c>
      <c r="G19" s="21">
        <f>Unit_Economics!B13-F19</f>
        <v/>
      </c>
      <c r="H19" s="21">
        <f>IF(ABS(B19)&gt;0, (G19-B19)/ABS(B19)*100, 0)</f>
        <v/>
      </c>
    </row>
    <row r="20">
      <c r="A20" s="18" t="inlineStr">
        <is>
          <t>Mamaearth Charcoal Face Wash</t>
        </is>
      </c>
      <c r="B20" s="19">
        <f>Unit_Economics!O14</f>
        <v/>
      </c>
      <c r="C20" s="19">
        <f>Parameters!B9*(1+B3)</f>
        <v/>
      </c>
      <c r="D20" s="19">
        <f>Unit_Economics!G14*(1+B4)</f>
        <v/>
      </c>
      <c r="E20" s="19">
        <f>IF(Unit_Economics!B14&lt;=250, 0, Parameters!B4*(1+B5))</f>
        <v/>
      </c>
      <c r="F20" s="19">
        <f>Unit_Economics!C14+E20+Unit_Economics!F14+D20+C20+Parameters!B6+Parameters!B7</f>
        <v/>
      </c>
      <c r="G20" s="19">
        <f>Unit_Economics!B14-F20</f>
        <v/>
      </c>
      <c r="H20" s="19">
        <f>IF(ABS(B20)&gt;0, (G20-B20)/ABS(B20)*100, 0)</f>
        <v/>
      </c>
    </row>
    <row r="21">
      <c r="A21" s="20" t="inlineStr">
        <is>
          <t>Mamaearth Bye Bye Blemishes Face Wash</t>
        </is>
      </c>
      <c r="B21" s="21">
        <f>Unit_Economics!O15</f>
        <v/>
      </c>
      <c r="C21" s="21">
        <f>Parameters!B9*(1+B3)</f>
        <v/>
      </c>
      <c r="D21" s="21">
        <f>Unit_Economics!G15*(1+B4)</f>
        <v/>
      </c>
      <c r="E21" s="21">
        <f>IF(Unit_Economics!B15&lt;=250, 0, Parameters!B4*(1+B5))</f>
        <v/>
      </c>
      <c r="F21" s="21">
        <f>Unit_Economics!C15+E21+Unit_Economics!F15+D21+C21+Parameters!B6+Parameters!B7</f>
        <v/>
      </c>
      <c r="G21" s="21">
        <f>Unit_Economics!B15-F21</f>
        <v/>
      </c>
      <c r="H21" s="21">
        <f>IF(ABS(B21)&gt;0, (G21-B21)/ABS(B21)*100, 0)</f>
        <v/>
      </c>
    </row>
    <row r="22">
      <c r="A22" s="18" t="inlineStr">
        <is>
          <t>Vitamin C Daily Glow Face Cream With Vitamin C &amp; Turmeric for Skin Illumination - 80 g</t>
        </is>
      </c>
      <c r="B22" s="19">
        <f>Unit_Economics!O16</f>
        <v/>
      </c>
      <c r="C22" s="19">
        <f>Parameters!B9*(1+B3)</f>
        <v/>
      </c>
      <c r="D22" s="19">
        <f>Unit_Economics!G16*(1+B4)</f>
        <v/>
      </c>
      <c r="E22" s="19">
        <f>IF(Unit_Economics!B16&lt;=250, 0, Parameters!B4*(1+B5))</f>
        <v/>
      </c>
      <c r="F22" s="19">
        <f>Unit_Economics!C16+E22+Unit_Economics!F16+D22+C22+Parameters!B6+Parameters!B7</f>
        <v/>
      </c>
      <c r="G22" s="19">
        <f>Unit_Economics!B16-F22</f>
        <v/>
      </c>
      <c r="H22" s="19">
        <f>IF(ABS(B22)&gt;0, (G22-B22)/ABS(B22)*100, 0)</f>
        <v/>
      </c>
    </row>
    <row r="23">
      <c r="A23" s="20" t="inlineStr">
        <is>
          <t>Mamaearth Ubtan Natural Glow Face Wash with Turmeric &amp; Saffron for Tan Removal – 150 ml</t>
        </is>
      </c>
      <c r="B23" s="21">
        <f>Unit_Economics!O17</f>
        <v/>
      </c>
      <c r="C23" s="21">
        <f>Parameters!B9*(1+B3)</f>
        <v/>
      </c>
      <c r="D23" s="21">
        <f>Unit_Economics!G17*(1+B4)</f>
        <v/>
      </c>
      <c r="E23" s="21">
        <f>IF(Unit_Economics!B17&lt;=250, 0, Parameters!B4*(1+B5))</f>
        <v/>
      </c>
      <c r="F23" s="21">
        <f>Unit_Economics!C17+E23+Unit_Economics!F17+D23+C23+Parameters!B6+Parameters!B7</f>
        <v/>
      </c>
      <c r="G23" s="21">
        <f>Unit_Economics!B17-F23</f>
        <v/>
      </c>
      <c r="H23" s="21">
        <f>IF(ABS(B23)&gt;0, (G23-B23)/ABS(B23)*100, 0)</f>
        <v/>
      </c>
    </row>
    <row r="24">
      <c r="A24" s="18" t="inlineStr">
        <is>
          <t>Mamaearth Vitamin C Night Cream</t>
        </is>
      </c>
      <c r="B24" s="19">
        <f>Unit_Economics!O18</f>
        <v/>
      </c>
      <c r="C24" s="19">
        <f>Parameters!B9*(1+B3)</f>
        <v/>
      </c>
      <c r="D24" s="19">
        <f>Unit_Economics!G18*(1+B4)</f>
        <v/>
      </c>
      <c r="E24" s="19">
        <f>IF(Unit_Economics!B18&lt;=250, 0, Parameters!B4*(1+B5))</f>
        <v/>
      </c>
      <c r="F24" s="19">
        <f>Unit_Economics!C18+E24+Unit_Economics!F18+D24+C24+Parameters!B6+Parameters!B7</f>
        <v/>
      </c>
      <c r="G24" s="19">
        <f>Unit_Economics!B18-F24</f>
        <v/>
      </c>
      <c r="H24" s="19">
        <f>IF(ABS(B24)&gt;0, (G24-B24)/ABS(B24)*100, 0)</f>
        <v/>
      </c>
    </row>
    <row r="25">
      <c r="A25" s="20" t="inlineStr">
        <is>
          <t>Aqua Glow Face Wash With Himalayan Thermal Water and Hyaluronic Acid for Intense Hydration - 100ml</t>
        </is>
      </c>
      <c r="B25" s="21">
        <f>Unit_Economics!O19</f>
        <v/>
      </c>
      <c r="C25" s="21">
        <f>Parameters!B9*(1+B3)</f>
        <v/>
      </c>
      <c r="D25" s="21">
        <f>Unit_Economics!G19*(1+B4)</f>
        <v/>
      </c>
      <c r="E25" s="21">
        <f>IF(Unit_Economics!B19&lt;=250, 0, Parameters!B4*(1+B5))</f>
        <v/>
      </c>
      <c r="F25" s="21">
        <f>Unit_Economics!C19+E25+Unit_Economics!F19+D25+C25+Parameters!B6+Parameters!B7</f>
        <v/>
      </c>
      <c r="G25" s="21">
        <f>Unit_Economics!B19-F25</f>
        <v/>
      </c>
      <c r="H25" s="21">
        <f>IF(ABS(B25)&gt;0, (G25-B25)/ABS(B25)*100, 0)</f>
        <v/>
      </c>
    </row>
    <row r="26">
      <c r="A26" s="18" t="inlineStr">
        <is>
          <t>Honey Malai Cold Cream with Honey &amp; Malai For Nourishing Glow - 200 g</t>
        </is>
      </c>
      <c r="B26" s="19">
        <f>Unit_Economics!O20</f>
        <v/>
      </c>
      <c r="C26" s="19">
        <f>Parameters!B9*(1+B3)</f>
        <v/>
      </c>
      <c r="D26" s="19">
        <f>Unit_Economics!G20*(1+B4)</f>
        <v/>
      </c>
      <c r="E26" s="19">
        <f>IF(Unit_Economics!B20&lt;=250, 0, Parameters!B4*(1+B5))</f>
        <v/>
      </c>
      <c r="F26" s="19">
        <f>Unit_Economics!C20+E26+Unit_Economics!F20+D26+C26+Parameters!B6+Parameters!B7</f>
        <v/>
      </c>
      <c r="G26" s="19">
        <f>Unit_Economics!B20-F26</f>
        <v/>
      </c>
      <c r="H26" s="19">
        <f>IF(ABS(B26)&gt;0, (G26-B26)/ABS(B26)*100, 0)</f>
        <v/>
      </c>
    </row>
    <row r="27">
      <c r="A27" s="20" t="inlineStr">
        <is>
          <t>Mamaearth Bye Bye Blemishes Face Cream - 30g</t>
        </is>
      </c>
      <c r="B27" s="21">
        <f>Unit_Economics!O21</f>
        <v/>
      </c>
      <c r="C27" s="21">
        <f>Parameters!B9*(1+B3)</f>
        <v/>
      </c>
      <c r="D27" s="21">
        <f>Unit_Economics!G21*(1+B4)</f>
        <v/>
      </c>
      <c r="E27" s="21">
        <f>IF(Unit_Economics!B21&lt;=250, 0, Parameters!B4*(1+B5))</f>
        <v/>
      </c>
      <c r="F27" s="21">
        <f>Unit_Economics!C21+E27+Unit_Economics!F21+D27+C27+Parameters!B6+Parameters!B7</f>
        <v/>
      </c>
      <c r="G27" s="21">
        <f>Unit_Economics!B21-F27</f>
        <v/>
      </c>
      <c r="H27" s="21">
        <f>IF(ABS(B27)&gt;0, (G27-B27)/ABS(B27)*100, 0)</f>
        <v/>
      </c>
    </row>
    <row r="28">
      <c r="A28" s="18" t="inlineStr">
        <is>
          <t>Mamaearth Vitamin C Face Serum</t>
        </is>
      </c>
      <c r="B28" s="19">
        <f>Unit_Economics!O22</f>
        <v/>
      </c>
      <c r="C28" s="19">
        <f>Parameters!B9*(1+B3)</f>
        <v/>
      </c>
      <c r="D28" s="19">
        <f>Unit_Economics!G22*(1+B4)</f>
        <v/>
      </c>
      <c r="E28" s="19">
        <f>IF(Unit_Economics!B22&lt;=250, 0, Parameters!B4*(1+B5))</f>
        <v/>
      </c>
      <c r="F28" s="19">
        <f>Unit_Economics!C22+E28+Unit_Economics!F22+D28+C28+Parameters!B6+Parameters!B7</f>
        <v/>
      </c>
      <c r="G28" s="19">
        <f>Unit_Economics!B22-F28</f>
        <v/>
      </c>
      <c r="H28" s="19">
        <f>IF(ABS(B28)&gt;0, (G28-B28)/ABS(B28)*100, 0)</f>
        <v/>
      </c>
    </row>
    <row r="29">
      <c r="A29" s="20" t="inlineStr">
        <is>
          <t>Mamaearth Niacinamide Face Serum</t>
        </is>
      </c>
      <c r="B29" s="21">
        <f>Unit_Economics!O23</f>
        <v/>
      </c>
      <c r="C29" s="21">
        <f>Parameters!B9*(1+B3)</f>
        <v/>
      </c>
      <c r="D29" s="21">
        <f>Unit_Economics!G23*(1+B4)</f>
        <v/>
      </c>
      <c r="E29" s="21">
        <f>IF(Unit_Economics!B23&lt;=250, 0, Parameters!B4*(1+B5))</f>
        <v/>
      </c>
      <c r="F29" s="21">
        <f>Unit_Economics!C23+E29+Unit_Economics!F23+D29+C29+Parameters!B6+Parameters!B7</f>
        <v/>
      </c>
      <c r="G29" s="21">
        <f>Unit_Economics!B23-F29</f>
        <v/>
      </c>
      <c r="H29" s="21">
        <f>IF(ABS(B29)&gt;0, (G29-B29)/ABS(B29)*100, 0)</f>
        <v/>
      </c>
    </row>
    <row r="30">
      <c r="A30" s="18" t="inlineStr">
        <is>
          <t>Mamaearth Hyaluronic Acid Serum</t>
        </is>
      </c>
      <c r="B30" s="19">
        <f>Unit_Economics!O24</f>
        <v/>
      </c>
      <c r="C30" s="19">
        <f>Parameters!B9*(1+B3)</f>
        <v/>
      </c>
      <c r="D30" s="19">
        <f>Unit_Economics!G24*(1+B4)</f>
        <v/>
      </c>
      <c r="E30" s="19">
        <f>IF(Unit_Economics!B24&lt;=250, 0, Parameters!B4*(1+B5))</f>
        <v/>
      </c>
      <c r="F30" s="19">
        <f>Unit_Economics!C24+E30+Unit_Economics!F24+D30+C30+Parameters!B6+Parameters!B7</f>
        <v/>
      </c>
      <c r="G30" s="19">
        <f>Unit_Economics!B24-F30</f>
        <v/>
      </c>
      <c r="H30" s="19">
        <f>IF(ABS(B30)&gt;0, (G30-B30)/ABS(B30)*100, 0)</f>
        <v/>
      </c>
    </row>
    <row r="31">
      <c r="A31" s="20" t="inlineStr">
        <is>
          <t>Mamaearth Rice Face Scrub</t>
        </is>
      </c>
      <c r="B31" s="21">
        <f>Unit_Economics!O25</f>
        <v/>
      </c>
      <c r="C31" s="21">
        <f>Parameters!B9*(1+B3)</f>
        <v/>
      </c>
      <c r="D31" s="21">
        <f>Unit_Economics!G25*(1+B4)</f>
        <v/>
      </c>
      <c r="E31" s="21">
        <f>IF(Unit_Economics!B25&lt;=250, 0, Parameters!B4*(1+B5))</f>
        <v/>
      </c>
      <c r="F31" s="21">
        <f>Unit_Economics!C25+E31+Unit_Economics!F25+D31+C31+Parameters!B6+Parameters!B7</f>
        <v/>
      </c>
      <c r="G31" s="21">
        <f>Unit_Economics!B25-F31</f>
        <v/>
      </c>
      <c r="H31" s="21">
        <f>IF(ABS(B31)&gt;0, (G31-B31)/ABS(B31)*100, 0)</f>
        <v/>
      </c>
    </row>
    <row r="32">
      <c r="A32" s="18" t="inlineStr">
        <is>
          <t>Mamaearth Ubtan Face Scrub</t>
        </is>
      </c>
      <c r="B32" s="19">
        <f>Unit_Economics!O26</f>
        <v/>
      </c>
      <c r="C32" s="19">
        <f>Parameters!B9*(1+B3)</f>
        <v/>
      </c>
      <c r="D32" s="19">
        <f>Unit_Economics!G26*(1+B4)</f>
        <v/>
      </c>
      <c r="E32" s="19">
        <f>IF(Unit_Economics!B26&lt;=250, 0, Parameters!B4*(1+B5))</f>
        <v/>
      </c>
      <c r="F32" s="19">
        <f>Unit_Economics!C26+E32+Unit_Economics!F26+D32+C32+Parameters!B6+Parameters!B7</f>
        <v/>
      </c>
      <c r="G32" s="19">
        <f>Unit_Economics!B26-F32</f>
        <v/>
      </c>
      <c r="H32" s="19">
        <f>IF(ABS(B32)&gt;0, (G32-B32)/ABS(B32)*100, 0)</f>
        <v/>
      </c>
    </row>
    <row r="33">
      <c r="A33" s="20" t="inlineStr">
        <is>
          <t>Mamaearth Charcoal Face Mask - 200g</t>
        </is>
      </c>
      <c r="B33" s="21">
        <f>Unit_Economics!O27</f>
        <v/>
      </c>
      <c r="C33" s="21">
        <f>Parameters!B9*(1+B3)</f>
        <v/>
      </c>
      <c r="D33" s="21">
        <f>Unit_Economics!G27*(1+B4)</f>
        <v/>
      </c>
      <c r="E33" s="21">
        <f>IF(Unit_Economics!B27&lt;=250, 0, Parameters!B4*(1+B5))</f>
        <v/>
      </c>
      <c r="F33" s="21">
        <f>Unit_Economics!C27+E33+Unit_Economics!F27+D33+C33+Parameters!B6+Parameters!B7</f>
        <v/>
      </c>
      <c r="G33" s="21">
        <f>Unit_Economics!B27-F33</f>
        <v/>
      </c>
      <c r="H33" s="21">
        <f>IF(ABS(B33)&gt;0, (G33-B33)/ABS(B33)*100, 0)</f>
        <v/>
      </c>
    </row>
    <row r="34">
      <c r="A34" s="18" t="inlineStr">
        <is>
          <t>Vitamin C Daily Glow Face Serum - 10ml</t>
        </is>
      </c>
      <c r="B34" s="19">
        <f>Unit_Economics!O28</f>
        <v/>
      </c>
      <c r="C34" s="19">
        <f>Parameters!B9*(1+B3)</f>
        <v/>
      </c>
      <c r="D34" s="19">
        <f>Unit_Economics!G28*(1+B4)</f>
        <v/>
      </c>
      <c r="E34" s="19">
        <f>IF(Unit_Economics!B28&lt;=250, 0, Parameters!B4*(1+B5))</f>
        <v/>
      </c>
      <c r="F34" s="19">
        <f>Unit_Economics!C28+E34+Unit_Economics!F28+D34+C34+Parameters!B6+Parameters!B7</f>
        <v/>
      </c>
      <c r="G34" s="19">
        <f>Unit_Economics!B28-F34</f>
        <v/>
      </c>
      <c r="H34" s="19">
        <f>IF(ABS(B34)&gt;0, (G34-B34)/ABS(B34)*100, 0)</f>
        <v/>
      </c>
    </row>
    <row r="35">
      <c r="A35" s="20" t="inlineStr">
        <is>
          <t>Mamaearth Vitamin C Body Lotion</t>
        </is>
      </c>
      <c r="B35" s="21">
        <f>Unit_Economics!O29</f>
        <v/>
      </c>
      <c r="C35" s="21">
        <f>Parameters!B9*(1+B3)</f>
        <v/>
      </c>
      <c r="D35" s="21">
        <f>Unit_Economics!G29*(1+B4)</f>
        <v/>
      </c>
      <c r="E35" s="21">
        <f>IF(Unit_Economics!B29&lt;=250, 0, Parameters!B4*(1+B5))</f>
        <v/>
      </c>
      <c r="F35" s="21">
        <f>Unit_Economics!C29+E35+Unit_Economics!F29+D35+C35+Parameters!B6+Parameters!B7</f>
        <v/>
      </c>
      <c r="G35" s="21">
        <f>Unit_Economics!B29-F35</f>
        <v/>
      </c>
      <c r="H35" s="21">
        <f>IF(ABS(B35)&gt;0, (G35-B35)/ABS(B35)*100, 0)</f>
        <v/>
      </c>
    </row>
    <row r="36">
      <c r="A36" s="18" t="inlineStr">
        <is>
          <t>Mamaearth Ubtan Body Lotion</t>
        </is>
      </c>
      <c r="B36" s="19">
        <f>Unit_Economics!O30</f>
        <v/>
      </c>
      <c r="C36" s="19">
        <f>Parameters!B9*(1+B3)</f>
        <v/>
      </c>
      <c r="D36" s="19">
        <f>Unit_Economics!G30*(1+B4)</f>
        <v/>
      </c>
      <c r="E36" s="19">
        <f>IF(Unit_Economics!B30&lt;=250, 0, Parameters!B4*(1+B5))</f>
        <v/>
      </c>
      <c r="F36" s="19">
        <f>Unit_Economics!C30+E36+Unit_Economics!F30+D36+C36+Parameters!B6+Parameters!B7</f>
        <v/>
      </c>
      <c r="G36" s="19">
        <f>Unit_Economics!B30-F36</f>
        <v/>
      </c>
      <c r="H36" s="19">
        <f>IF(ABS(B36)&gt;0, (G36-B36)/ABS(B36)*100, 0)</f>
        <v/>
      </c>
    </row>
    <row r="37">
      <c r="A37" s="20" t="inlineStr">
        <is>
          <t>Mamaearth Cocoa Rich Moisturizing Body Lotion with Cocoa Butter &amp; Vitamin E for Intense Moisturization - 400 ml</t>
        </is>
      </c>
      <c r="B37" s="21">
        <f>Unit_Economics!O31</f>
        <v/>
      </c>
      <c r="C37" s="21">
        <f>Parameters!B9*(1+B3)</f>
        <v/>
      </c>
      <c r="D37" s="21">
        <f>Unit_Economics!G31*(1+B4)</f>
        <v/>
      </c>
      <c r="E37" s="21">
        <f>IF(Unit_Economics!B31&lt;=250, 0, Parameters!B4*(1+B5))</f>
        <v/>
      </c>
      <c r="F37" s="21">
        <f>Unit_Economics!C31+E37+Unit_Economics!F31+D37+C37+Parameters!B6+Parameters!B7</f>
        <v/>
      </c>
      <c r="G37" s="21">
        <f>Unit_Economics!B31-F37</f>
        <v/>
      </c>
      <c r="H37" s="21">
        <f>IF(ABS(B37)&gt;0, (G37-B37)/ABS(B37)*100, 0)</f>
        <v/>
      </c>
    </row>
    <row r="38">
      <c r="A38" s="18" t="inlineStr">
        <is>
          <t>Mamaearth Tea Tree Body Wash With Tea Tree and Neem For Skin Purification - 300 ml</t>
        </is>
      </c>
      <c r="B38" s="19">
        <f>Unit_Economics!O32</f>
        <v/>
      </c>
      <c r="C38" s="19">
        <f>Parameters!B9*(1+B3)</f>
        <v/>
      </c>
      <c r="D38" s="19">
        <f>Unit_Economics!G32*(1+B4)</f>
        <v/>
      </c>
      <c r="E38" s="19">
        <f>IF(Unit_Economics!B32&lt;=250, 0, Parameters!B4*(1+B5))</f>
        <v/>
      </c>
      <c r="F38" s="19">
        <f>Unit_Economics!C32+E38+Unit_Economics!F32+D38+C38+Parameters!B6+Parameters!B7</f>
        <v/>
      </c>
      <c r="G38" s="19">
        <f>Unit_Economics!B32-F38</f>
        <v/>
      </c>
      <c r="H38" s="19">
        <f>IF(ABS(B38)&gt;0, (G38-B38)/ABS(B38)*100, 0)</f>
        <v/>
      </c>
    </row>
    <row r="39">
      <c r="A39" s="20" t="inlineStr">
        <is>
          <t>Milky Soft Shampoo with Oats, Milk and Calendula for Babies - 400 ml</t>
        </is>
      </c>
      <c r="B39" s="21">
        <f>Unit_Economics!O33</f>
        <v/>
      </c>
      <c r="C39" s="21">
        <f>Parameters!B9*(1+B3)</f>
        <v/>
      </c>
      <c r="D39" s="21">
        <f>Unit_Economics!G33*(1+B4)</f>
        <v/>
      </c>
      <c r="E39" s="21">
        <f>IF(Unit_Economics!B33&lt;=250, 0, Parameters!B4*(1+B5))</f>
        <v/>
      </c>
      <c r="F39" s="21">
        <f>Unit_Economics!C33+E39+Unit_Economics!F33+D39+C39+Parameters!B6+Parameters!B7</f>
        <v/>
      </c>
      <c r="G39" s="21">
        <f>Unit_Economics!B33-F39</f>
        <v/>
      </c>
      <c r="H39" s="21">
        <f>IF(ABS(B39)&gt;0, (G39-B39)/ABS(B39)*100, 0)</f>
        <v/>
      </c>
    </row>
    <row r="40">
      <c r="A40" s="18" t="inlineStr">
        <is>
          <t>Milky Soft Body Lotion for Babies with Oats, Milk &amp; Calendula – 200ml</t>
        </is>
      </c>
      <c r="B40" s="19">
        <f>Unit_Economics!O34</f>
        <v/>
      </c>
      <c r="C40" s="19">
        <f>Parameters!B9*(1+B3)</f>
        <v/>
      </c>
      <c r="D40" s="19">
        <f>Unit_Economics!G34*(1+B4)</f>
        <v/>
      </c>
      <c r="E40" s="19">
        <f>IF(Unit_Economics!B34&lt;=250, 0, Parameters!B4*(1+B5))</f>
        <v/>
      </c>
      <c r="F40" s="19">
        <f>Unit_Economics!C34+E40+Unit_Economics!F34+D40+C40+Parameters!B6+Parameters!B7</f>
        <v/>
      </c>
      <c r="G40" s="19">
        <f>Unit_Economics!B34-F40</f>
        <v/>
      </c>
      <c r="H40" s="19">
        <f>IF(ABS(B40)&gt;0, (G40-B40)/ABS(B40)*100, 0)</f>
        <v/>
      </c>
    </row>
    <row r="41">
      <c r="A41" s="20" t="inlineStr">
        <is>
          <t>Moisturizing Bathing Bar Soap For Babies, pack of 2*75g</t>
        </is>
      </c>
      <c r="B41" s="21">
        <f>Unit_Economics!O35</f>
        <v/>
      </c>
      <c r="C41" s="21">
        <f>Parameters!B9*(1+B3)</f>
        <v/>
      </c>
      <c r="D41" s="21">
        <f>Unit_Economics!G35*(1+B4)</f>
        <v/>
      </c>
      <c r="E41" s="21">
        <f>IF(Unit_Economics!B35&lt;=250, 0, Parameters!B4*(1+B5))</f>
        <v/>
      </c>
      <c r="F41" s="21">
        <f>Unit_Economics!C35+E41+Unit_Economics!F35+D41+C41+Parameters!B6+Parameters!B7</f>
        <v/>
      </c>
      <c r="G41" s="21">
        <f>Unit_Economics!B35-F41</f>
        <v/>
      </c>
      <c r="H41" s="21">
        <f>IF(ABS(B41)&gt;0, (G41-B41)/ABS(B41)*100, 0)</f>
        <v/>
      </c>
    </row>
    <row r="42">
      <c r="A42" s="18" t="inlineStr">
        <is>
          <t>Mamaearth Lip Balm</t>
        </is>
      </c>
      <c r="B42" s="19">
        <f>Unit_Economics!O36</f>
        <v/>
      </c>
      <c r="C42" s="19">
        <f>Parameters!B9*(1+B3)</f>
        <v/>
      </c>
      <c r="D42" s="19">
        <f>Unit_Economics!G36*(1+B4)</f>
        <v/>
      </c>
      <c r="E42" s="19">
        <f>IF(Unit_Economics!B36&lt;=250, 0, Parameters!B4*(1+B5))</f>
        <v/>
      </c>
      <c r="F42" s="19">
        <f>Unit_Economics!C36+E42+Unit_Economics!F36+D42+C42+Parameters!B6+Parameters!B7</f>
        <v/>
      </c>
      <c r="G42" s="19">
        <f>Unit_Economics!B36-F42</f>
        <v/>
      </c>
      <c r="H42" s="19">
        <f>IF(ABS(B42)&gt;0, (G42-B42)/ABS(B42)*100, 0)</f>
        <v/>
      </c>
    </row>
    <row r="43">
      <c r="A43" s="20" t="inlineStr">
        <is>
          <t>Mamaearth Tinted Lip Balm</t>
        </is>
      </c>
      <c r="B43" s="21">
        <f>Unit_Economics!O37</f>
        <v/>
      </c>
      <c r="C43" s="21">
        <f>Parameters!B9*(1+B3)</f>
        <v/>
      </c>
      <c r="D43" s="21">
        <f>Unit_Economics!G37*(1+B4)</f>
        <v/>
      </c>
      <c r="E43" s="21">
        <f>IF(Unit_Economics!B37&lt;=250, 0, Parameters!B4*(1+B5))</f>
        <v/>
      </c>
      <c r="F43" s="21">
        <f>Unit_Economics!C37+E43+Unit_Economics!F37+D43+C43+Parameters!B6+Parameters!B7</f>
        <v/>
      </c>
      <c r="G43" s="21">
        <f>Unit_Economics!B37-F43</f>
        <v/>
      </c>
      <c r="H43" s="21">
        <f>IF(ABS(B43)&gt;0, (G43-B43)/ABS(B43)*100, 0)</f>
        <v/>
      </c>
    </row>
    <row r="44">
      <c r="A44" s="18" t="inlineStr">
        <is>
          <t>Mamaearth Under Eye Cream</t>
        </is>
      </c>
      <c r="B44" s="19">
        <f>Unit_Economics!O38</f>
        <v/>
      </c>
      <c r="C44" s="19">
        <f>Parameters!B9*(1+B3)</f>
        <v/>
      </c>
      <c r="D44" s="19">
        <f>Unit_Economics!G38*(1+B4)</f>
        <v/>
      </c>
      <c r="E44" s="19">
        <f>IF(Unit_Economics!B38&lt;=250, 0, Parameters!B4*(1+B5))</f>
        <v/>
      </c>
      <c r="F44" s="19">
        <f>Unit_Economics!C38+E44+Unit_Economics!F38+D44+C44+Parameters!B6+Parameters!B7</f>
        <v/>
      </c>
      <c r="G44" s="19">
        <f>Unit_Economics!B38-F44</f>
        <v/>
      </c>
      <c r="H44" s="19">
        <f>IF(ABS(B44)&gt;0, (G44-B44)/ABS(B44)*100, 0)</f>
        <v/>
      </c>
    </row>
    <row r="45">
      <c r="A45" s="20" t="inlineStr">
        <is>
          <t>Charcoal Black Long Stay Kajal with Vitamin C &amp; Chamomile for 11-Hour Smudge-free Stay</t>
        </is>
      </c>
      <c r="B45" s="21">
        <f>Unit_Economics!O39</f>
        <v/>
      </c>
      <c r="C45" s="21">
        <f>Parameters!B9*(1+B3)</f>
        <v/>
      </c>
      <c r="D45" s="21">
        <f>Unit_Economics!G39*(1+B4)</f>
        <v/>
      </c>
      <c r="E45" s="21">
        <f>IF(Unit_Economics!B39&lt;=250, 0, Parameters!B4*(1+B5))</f>
        <v/>
      </c>
      <c r="F45" s="21">
        <f>Unit_Economics!C39+E45+Unit_Economics!F39+D45+C45+Parameters!B6+Parameters!B7</f>
        <v/>
      </c>
      <c r="G45" s="21">
        <f>Unit_Economics!B39-F45</f>
        <v/>
      </c>
      <c r="H45" s="21">
        <f>IF(ABS(B45)&gt;0, (G45-B45)/ABS(B45)*100, 0)</f>
        <v/>
      </c>
    </row>
  </sheetData>
  <mergeCells count="1"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6" t="inlineStr">
        <is>
          <t>Fixed Costs (Monthly):</t>
        </is>
      </c>
      <c r="B1" s="27">
        <f>Parameters!B10</f>
        <v/>
      </c>
    </row>
    <row r="3">
      <c r="A3" s="10" t="inlineStr">
        <is>
          <t>Product_Name</t>
        </is>
      </c>
      <c r="B3" s="10" t="inlineStr">
        <is>
          <t>Selling_Price</t>
        </is>
      </c>
      <c r="C3" s="10" t="inlineStr">
        <is>
          <t>Total_Variable_Cost_ONDC</t>
        </is>
      </c>
      <c r="D3" s="10" t="inlineStr">
        <is>
          <t>Contribution_per_unit_ONDC</t>
        </is>
      </c>
      <c r="E3" s="10" t="inlineStr">
        <is>
          <t>Break_even_units</t>
        </is>
      </c>
      <c r="F3" s="10" t="inlineStr">
        <is>
          <t>Break_even_revenue</t>
        </is>
      </c>
    </row>
    <row r="4">
      <c r="A4" s="18" t="inlineStr">
        <is>
          <t>Mamaearth Onion Hair Oil</t>
        </is>
      </c>
      <c r="B4" s="19">
        <f>Unit_Economics!B4</f>
        <v/>
      </c>
      <c r="C4" s="19">
        <f>Unit_Economics!M4</f>
        <v/>
      </c>
      <c r="D4" s="19">
        <f>B4-C4</f>
        <v/>
      </c>
      <c r="E4" s="19">
        <f>IF(D4&gt;0, B1/D4, 0)</f>
        <v/>
      </c>
      <c r="F4" s="19">
        <f>E4*B4</f>
        <v/>
      </c>
    </row>
    <row r="5">
      <c r="A5" s="20" t="inlineStr">
        <is>
          <t>Mamaearth Onion Shampoo</t>
        </is>
      </c>
      <c r="B5" s="21">
        <f>Unit_Economics!B5</f>
        <v/>
      </c>
      <c r="C5" s="21">
        <f>Unit_Economics!M5</f>
        <v/>
      </c>
      <c r="D5" s="21">
        <f>B5-C5</f>
        <v/>
      </c>
      <c r="E5" s="21">
        <f>IF(D5&gt;0, B1/D5, 0)</f>
        <v/>
      </c>
      <c r="F5" s="21">
        <f>E5*B5</f>
        <v/>
      </c>
    </row>
    <row r="6">
      <c r="A6" s="18" t="inlineStr">
        <is>
          <t>Mamaearth Onion Conditioner</t>
        </is>
      </c>
      <c r="B6" s="19">
        <f>Unit_Economics!B6</f>
        <v/>
      </c>
      <c r="C6" s="19">
        <f>Unit_Economics!M6</f>
        <v/>
      </c>
      <c r="D6" s="19">
        <f>B6-C6</f>
        <v/>
      </c>
      <c r="E6" s="19">
        <f>IF(D6&gt;0, B1/D6, 0)</f>
        <v/>
      </c>
      <c r="F6" s="19">
        <f>E6*B6</f>
        <v/>
      </c>
    </row>
    <row r="7">
      <c r="A7" s="20" t="inlineStr">
        <is>
          <t>Rosemary Hair Growth Oil with Rosemary &amp; Methi Dana for Promoting Hair Growth - 100 ml</t>
        </is>
      </c>
      <c r="B7" s="21">
        <f>Unit_Economics!B7</f>
        <v/>
      </c>
      <c r="C7" s="21">
        <f>Unit_Economics!M7</f>
        <v/>
      </c>
      <c r="D7" s="21">
        <f>B7-C7</f>
        <v/>
      </c>
      <c r="E7" s="21">
        <f>IF(D7&gt;0, B1/D7, 0)</f>
        <v/>
      </c>
      <c r="F7" s="21">
        <f>E7*B7</f>
        <v/>
      </c>
    </row>
    <row r="8">
      <c r="A8" s="18" t="inlineStr">
        <is>
          <t>Mamaearth Rosemary Shampoo</t>
        </is>
      </c>
      <c r="B8" s="19">
        <f>Unit_Economics!B8</f>
        <v/>
      </c>
      <c r="C8" s="19">
        <f>Unit_Economics!M8</f>
        <v/>
      </c>
      <c r="D8" s="19">
        <f>B8-C8</f>
        <v/>
      </c>
      <c r="E8" s="19">
        <f>IF(D8&gt;0, B1/D8, 0)</f>
        <v/>
      </c>
      <c r="F8" s="19">
        <f>E8*B8</f>
        <v/>
      </c>
    </row>
    <row r="9">
      <c r="A9" s="20" t="inlineStr">
        <is>
          <t>Mamaearth Argan Hair Mask</t>
        </is>
      </c>
      <c r="B9" s="21">
        <f>Unit_Economics!B9</f>
        <v/>
      </c>
      <c r="C9" s="21">
        <f>Unit_Economics!M9</f>
        <v/>
      </c>
      <c r="D9" s="21">
        <f>B9-C9</f>
        <v/>
      </c>
      <c r="E9" s="21">
        <f>IF(D9&gt;0, B1/D9, 0)</f>
        <v/>
      </c>
      <c r="F9" s="21">
        <f>E9*B9</f>
        <v/>
      </c>
    </row>
    <row r="10">
      <c r="A10" s="18" t="inlineStr">
        <is>
          <t>Mamaearth Onion Hair Growth Serum (50ml)</t>
        </is>
      </c>
      <c r="B10" s="19">
        <f>Unit_Economics!B10</f>
        <v/>
      </c>
      <c r="C10" s="19">
        <f>Unit_Economics!M10</f>
        <v/>
      </c>
      <c r="D10" s="19">
        <f>B10-C10</f>
        <v/>
      </c>
      <c r="E10" s="19">
        <f>IF(D10&gt;0, B1/D10, 0)</f>
        <v/>
      </c>
      <c r="F10" s="19">
        <f>E10*B10</f>
        <v/>
      </c>
    </row>
    <row r="11">
      <c r="A11" s="20" t="inlineStr">
        <is>
          <t>Mamaearth Vitamin C and Turmeric Face Wash</t>
        </is>
      </c>
      <c r="B11" s="21">
        <f>Unit_Economics!B11</f>
        <v/>
      </c>
      <c r="C11" s="21">
        <f>Unit_Economics!M11</f>
        <v/>
      </c>
      <c r="D11" s="21">
        <f>B11-C11</f>
        <v/>
      </c>
      <c r="E11" s="21">
        <f>IF(D11&gt;0, B1/D11, 0)</f>
        <v/>
      </c>
      <c r="F11" s="21">
        <f>E11*B11</f>
        <v/>
      </c>
    </row>
    <row r="12">
      <c r="A12" s="18" t="inlineStr">
        <is>
          <t>Ubtan Natural Glow Face Wash with Turmeric &amp; Saffron for Tan Removal – 100 ml</t>
        </is>
      </c>
      <c r="B12" s="19">
        <f>Unit_Economics!B12</f>
        <v/>
      </c>
      <c r="C12" s="19">
        <f>Unit_Economics!M12</f>
        <v/>
      </c>
      <c r="D12" s="19">
        <f>B12-C12</f>
        <v/>
      </c>
      <c r="E12" s="19">
        <f>IF(D12&gt;0, B1/D12, 0)</f>
        <v/>
      </c>
      <c r="F12" s="19">
        <f>E12*B12</f>
        <v/>
      </c>
    </row>
    <row r="13">
      <c r="A13" s="20" t="inlineStr">
        <is>
          <t>Tea Tree Pimple Control Face Wash with Tea Tree &amp; Salicylic for Oily &amp; Acne-Prone Skin - 100ml</t>
        </is>
      </c>
      <c r="B13" s="21">
        <f>Unit_Economics!B13</f>
        <v/>
      </c>
      <c r="C13" s="21">
        <f>Unit_Economics!M13</f>
        <v/>
      </c>
      <c r="D13" s="21">
        <f>B13-C13</f>
        <v/>
      </c>
      <c r="E13" s="21">
        <f>IF(D13&gt;0, B1/D13, 0)</f>
        <v/>
      </c>
      <c r="F13" s="21">
        <f>E13*B13</f>
        <v/>
      </c>
    </row>
    <row r="14">
      <c r="A14" s="18" t="inlineStr">
        <is>
          <t>Mamaearth Aloe Vera Face Wash</t>
        </is>
      </c>
      <c r="B14" s="19">
        <f>Unit_Economics!B14</f>
        <v/>
      </c>
      <c r="C14" s="19">
        <f>Unit_Economics!M14</f>
        <v/>
      </c>
      <c r="D14" s="19">
        <f>B14-C14</f>
        <v/>
      </c>
      <c r="E14" s="19">
        <f>IF(D14&gt;0, B1/D14, 0)</f>
        <v/>
      </c>
      <c r="F14" s="19">
        <f>E14*B14</f>
        <v/>
      </c>
    </row>
    <row r="15">
      <c r="A15" s="20" t="inlineStr">
        <is>
          <t>Rice Dewy Bright Face Wash With Rice Water &amp; Niacinamide for Glass Skin - 200 ml</t>
        </is>
      </c>
      <c r="B15" s="21">
        <f>Unit_Economics!B15</f>
        <v/>
      </c>
      <c r="C15" s="21">
        <f>Unit_Economics!M15</f>
        <v/>
      </c>
      <c r="D15" s="21">
        <f>B15-C15</f>
        <v/>
      </c>
      <c r="E15" s="21">
        <f>IF(D15&gt;0, B1/D15, 0)</f>
        <v/>
      </c>
      <c r="F15" s="21">
        <f>E15*B15</f>
        <v/>
      </c>
    </row>
    <row r="16">
      <c r="A16" s="18" t="inlineStr">
        <is>
          <t>Mamaearth Charcoal Face Wash</t>
        </is>
      </c>
      <c r="B16" s="19">
        <f>Unit_Economics!B16</f>
        <v/>
      </c>
      <c r="C16" s="19">
        <f>Unit_Economics!M16</f>
        <v/>
      </c>
      <c r="D16" s="19">
        <f>B16-C16</f>
        <v/>
      </c>
      <c r="E16" s="19">
        <f>IF(D16&gt;0, B1/D16, 0)</f>
        <v/>
      </c>
      <c r="F16" s="19">
        <f>E16*B16</f>
        <v/>
      </c>
    </row>
    <row r="17">
      <c r="A17" s="20" t="inlineStr">
        <is>
          <t>Mamaearth Bye Bye Blemishes Face Wash</t>
        </is>
      </c>
      <c r="B17" s="21">
        <f>Unit_Economics!B17</f>
        <v/>
      </c>
      <c r="C17" s="21">
        <f>Unit_Economics!M17</f>
        <v/>
      </c>
      <c r="D17" s="21">
        <f>B17-C17</f>
        <v/>
      </c>
      <c r="E17" s="21">
        <f>IF(D17&gt;0, B1/D17, 0)</f>
        <v/>
      </c>
      <c r="F17" s="21">
        <f>E17*B17</f>
        <v/>
      </c>
    </row>
    <row r="18">
      <c r="A18" s="18" t="inlineStr">
        <is>
          <t>Vitamin C Daily Glow Face Cream With Vitamin C &amp; Turmeric for Skin Illumination - 80 g</t>
        </is>
      </c>
      <c r="B18" s="19">
        <f>Unit_Economics!B18</f>
        <v/>
      </c>
      <c r="C18" s="19">
        <f>Unit_Economics!M18</f>
        <v/>
      </c>
      <c r="D18" s="19">
        <f>B18-C18</f>
        <v/>
      </c>
      <c r="E18" s="19">
        <f>IF(D18&gt;0, B1/D18, 0)</f>
        <v/>
      </c>
      <c r="F18" s="19">
        <f>E18*B18</f>
        <v/>
      </c>
    </row>
    <row r="19">
      <c r="A19" s="20" t="inlineStr">
        <is>
          <t>Mamaearth Ubtan Natural Glow Face Wash with Turmeric &amp; Saffron for Tan Removal – 150 ml</t>
        </is>
      </c>
      <c r="B19" s="21">
        <f>Unit_Economics!B19</f>
        <v/>
      </c>
      <c r="C19" s="21">
        <f>Unit_Economics!M19</f>
        <v/>
      </c>
      <c r="D19" s="21">
        <f>B19-C19</f>
        <v/>
      </c>
      <c r="E19" s="21">
        <f>IF(D19&gt;0, B1/D19, 0)</f>
        <v/>
      </c>
      <c r="F19" s="21">
        <f>E19*B19</f>
        <v/>
      </c>
    </row>
    <row r="20">
      <c r="A20" s="18" t="inlineStr">
        <is>
          <t>Mamaearth Vitamin C Night Cream</t>
        </is>
      </c>
      <c r="B20" s="19">
        <f>Unit_Economics!B20</f>
        <v/>
      </c>
      <c r="C20" s="19">
        <f>Unit_Economics!M20</f>
        <v/>
      </c>
      <c r="D20" s="19">
        <f>B20-C20</f>
        <v/>
      </c>
      <c r="E20" s="19">
        <f>IF(D20&gt;0, B1/D20, 0)</f>
        <v/>
      </c>
      <c r="F20" s="19">
        <f>E20*B20</f>
        <v/>
      </c>
    </row>
    <row r="21">
      <c r="A21" s="20" t="inlineStr">
        <is>
          <t>Aqua Glow Face Wash With Himalayan Thermal Water and Hyaluronic Acid for Intense Hydration - 100ml</t>
        </is>
      </c>
      <c r="B21" s="21">
        <f>Unit_Economics!B21</f>
        <v/>
      </c>
      <c r="C21" s="21">
        <f>Unit_Economics!M21</f>
        <v/>
      </c>
      <c r="D21" s="21">
        <f>B21-C21</f>
        <v/>
      </c>
      <c r="E21" s="21">
        <f>IF(D21&gt;0, B1/D21, 0)</f>
        <v/>
      </c>
      <c r="F21" s="21">
        <f>E21*B21</f>
        <v/>
      </c>
    </row>
    <row r="22">
      <c r="A22" s="18" t="inlineStr">
        <is>
          <t>Honey Malai Cold Cream with Honey &amp; Malai For Nourishing Glow - 200 g</t>
        </is>
      </c>
      <c r="B22" s="19">
        <f>Unit_Economics!B22</f>
        <v/>
      </c>
      <c r="C22" s="19">
        <f>Unit_Economics!M22</f>
        <v/>
      </c>
      <c r="D22" s="19">
        <f>B22-C22</f>
        <v/>
      </c>
      <c r="E22" s="19">
        <f>IF(D22&gt;0, B1/D22, 0)</f>
        <v/>
      </c>
      <c r="F22" s="19">
        <f>E22*B22</f>
        <v/>
      </c>
    </row>
    <row r="23">
      <c r="A23" s="20" t="inlineStr">
        <is>
          <t>Mamaearth Bye Bye Blemishes Face Cream - 30g</t>
        </is>
      </c>
      <c r="B23" s="21">
        <f>Unit_Economics!B23</f>
        <v/>
      </c>
      <c r="C23" s="21">
        <f>Unit_Economics!M23</f>
        <v/>
      </c>
      <c r="D23" s="21">
        <f>B23-C23</f>
        <v/>
      </c>
      <c r="E23" s="21">
        <f>IF(D23&gt;0, B1/D23, 0)</f>
        <v/>
      </c>
      <c r="F23" s="21">
        <f>E23*B23</f>
        <v/>
      </c>
    </row>
    <row r="24">
      <c r="A24" s="18" t="inlineStr">
        <is>
          <t>Mamaearth Vitamin C Face Serum</t>
        </is>
      </c>
      <c r="B24" s="19">
        <f>Unit_Economics!B24</f>
        <v/>
      </c>
      <c r="C24" s="19">
        <f>Unit_Economics!M24</f>
        <v/>
      </c>
      <c r="D24" s="19">
        <f>B24-C24</f>
        <v/>
      </c>
      <c r="E24" s="19">
        <f>IF(D24&gt;0, B1/D24, 0)</f>
        <v/>
      </c>
      <c r="F24" s="19">
        <f>E24*B24</f>
        <v/>
      </c>
    </row>
    <row r="25">
      <c r="A25" s="20" t="inlineStr">
        <is>
          <t>Mamaearth Niacinamide Face Serum</t>
        </is>
      </c>
      <c r="B25" s="21">
        <f>Unit_Economics!B25</f>
        <v/>
      </c>
      <c r="C25" s="21">
        <f>Unit_Economics!M25</f>
        <v/>
      </c>
      <c r="D25" s="21">
        <f>B25-C25</f>
        <v/>
      </c>
      <c r="E25" s="21">
        <f>IF(D25&gt;0, B1/D25, 0)</f>
        <v/>
      </c>
      <c r="F25" s="21">
        <f>E25*B25</f>
        <v/>
      </c>
    </row>
    <row r="26">
      <c r="A26" s="18" t="inlineStr">
        <is>
          <t>Mamaearth Hyaluronic Acid Serum</t>
        </is>
      </c>
      <c r="B26" s="19">
        <f>Unit_Economics!B26</f>
        <v/>
      </c>
      <c r="C26" s="19">
        <f>Unit_Economics!M26</f>
        <v/>
      </c>
      <c r="D26" s="19">
        <f>B26-C26</f>
        <v/>
      </c>
      <c r="E26" s="19">
        <f>IF(D26&gt;0, B1/D26, 0)</f>
        <v/>
      </c>
      <c r="F26" s="19">
        <f>E26*B26</f>
        <v/>
      </c>
    </row>
    <row r="27">
      <c r="A27" s="20" t="inlineStr">
        <is>
          <t>Mamaearth Rice Face Scrub</t>
        </is>
      </c>
      <c r="B27" s="21">
        <f>Unit_Economics!B27</f>
        <v/>
      </c>
      <c r="C27" s="21">
        <f>Unit_Economics!M27</f>
        <v/>
      </c>
      <c r="D27" s="21">
        <f>B27-C27</f>
        <v/>
      </c>
      <c r="E27" s="21">
        <f>IF(D27&gt;0, B1/D27, 0)</f>
        <v/>
      </c>
      <c r="F27" s="21">
        <f>E27*B27</f>
        <v/>
      </c>
    </row>
    <row r="28">
      <c r="A28" s="18" t="inlineStr">
        <is>
          <t>Mamaearth Ubtan Face Scrub</t>
        </is>
      </c>
      <c r="B28" s="19">
        <f>Unit_Economics!B28</f>
        <v/>
      </c>
      <c r="C28" s="19">
        <f>Unit_Economics!M28</f>
        <v/>
      </c>
      <c r="D28" s="19">
        <f>B28-C28</f>
        <v/>
      </c>
      <c r="E28" s="19">
        <f>IF(D28&gt;0, B1/D28, 0)</f>
        <v/>
      </c>
      <c r="F28" s="19">
        <f>E28*B28</f>
        <v/>
      </c>
    </row>
    <row r="29">
      <c r="A29" s="20" t="inlineStr">
        <is>
          <t>Mamaearth Charcoal Face Mask - 200g</t>
        </is>
      </c>
      <c r="B29" s="21">
        <f>Unit_Economics!B29</f>
        <v/>
      </c>
      <c r="C29" s="21">
        <f>Unit_Economics!M29</f>
        <v/>
      </c>
      <c r="D29" s="21">
        <f>B29-C29</f>
        <v/>
      </c>
      <c r="E29" s="21">
        <f>IF(D29&gt;0, B1/D29, 0)</f>
        <v/>
      </c>
      <c r="F29" s="21">
        <f>E29*B29</f>
        <v/>
      </c>
    </row>
    <row r="30">
      <c r="A30" s="18" t="inlineStr">
        <is>
          <t>Vitamin C Daily Glow Face Serum - 10ml</t>
        </is>
      </c>
      <c r="B30" s="19">
        <f>Unit_Economics!B30</f>
        <v/>
      </c>
      <c r="C30" s="19">
        <f>Unit_Economics!M30</f>
        <v/>
      </c>
      <c r="D30" s="19">
        <f>B30-C30</f>
        <v/>
      </c>
      <c r="E30" s="19">
        <f>IF(D30&gt;0, B1/D30, 0)</f>
        <v/>
      </c>
      <c r="F30" s="19">
        <f>E30*B30</f>
        <v/>
      </c>
    </row>
    <row r="31">
      <c r="A31" s="20" t="inlineStr">
        <is>
          <t>Mamaearth Vitamin C Body Lotion</t>
        </is>
      </c>
      <c r="B31" s="21">
        <f>Unit_Economics!B31</f>
        <v/>
      </c>
      <c r="C31" s="21">
        <f>Unit_Economics!M31</f>
        <v/>
      </c>
      <c r="D31" s="21">
        <f>B31-C31</f>
        <v/>
      </c>
      <c r="E31" s="21">
        <f>IF(D31&gt;0, B1/D31, 0)</f>
        <v/>
      </c>
      <c r="F31" s="21">
        <f>E31*B31</f>
        <v/>
      </c>
    </row>
    <row r="32">
      <c r="A32" s="18" t="inlineStr">
        <is>
          <t>Mamaearth Ubtan Body Lotion</t>
        </is>
      </c>
      <c r="B32" s="19">
        <f>Unit_Economics!B32</f>
        <v/>
      </c>
      <c r="C32" s="19">
        <f>Unit_Economics!M32</f>
        <v/>
      </c>
      <c r="D32" s="19">
        <f>B32-C32</f>
        <v/>
      </c>
      <c r="E32" s="19">
        <f>IF(D32&gt;0, B1/D32, 0)</f>
        <v/>
      </c>
      <c r="F32" s="19">
        <f>E32*B32</f>
        <v/>
      </c>
    </row>
    <row r="33">
      <c r="A33" s="20" t="inlineStr">
        <is>
          <t>Mamaearth Cocoa Rich Moisturizing Body Lotion with Cocoa Butter &amp; Vitamin E for Intense Moisturization - 400 ml</t>
        </is>
      </c>
      <c r="B33" s="21">
        <f>Unit_Economics!B33</f>
        <v/>
      </c>
      <c r="C33" s="21">
        <f>Unit_Economics!M33</f>
        <v/>
      </c>
      <c r="D33" s="21">
        <f>B33-C33</f>
        <v/>
      </c>
      <c r="E33" s="21">
        <f>IF(D33&gt;0, B1/D33, 0)</f>
        <v/>
      </c>
      <c r="F33" s="21">
        <f>E33*B33</f>
        <v/>
      </c>
    </row>
    <row r="34">
      <c r="A34" s="18" t="inlineStr">
        <is>
          <t>Mamaearth Tea Tree Body Wash With Tea Tree and Neem For Skin Purification - 300 ml</t>
        </is>
      </c>
      <c r="B34" s="19">
        <f>Unit_Economics!B34</f>
        <v/>
      </c>
      <c r="C34" s="19">
        <f>Unit_Economics!M34</f>
        <v/>
      </c>
      <c r="D34" s="19">
        <f>B34-C34</f>
        <v/>
      </c>
      <c r="E34" s="19">
        <f>IF(D34&gt;0, B1/D34, 0)</f>
        <v/>
      </c>
      <c r="F34" s="19">
        <f>E34*B34</f>
        <v/>
      </c>
    </row>
    <row r="35">
      <c r="A35" s="20" t="inlineStr">
        <is>
          <t>Milky Soft Shampoo with Oats, Milk and Calendula for Babies - 400 ml</t>
        </is>
      </c>
      <c r="B35" s="21">
        <f>Unit_Economics!B35</f>
        <v/>
      </c>
      <c r="C35" s="21">
        <f>Unit_Economics!M35</f>
        <v/>
      </c>
      <c r="D35" s="21">
        <f>B35-C35</f>
        <v/>
      </c>
      <c r="E35" s="21">
        <f>IF(D35&gt;0, B1/D35, 0)</f>
        <v/>
      </c>
      <c r="F35" s="21">
        <f>E35*B35</f>
        <v/>
      </c>
    </row>
    <row r="36">
      <c r="A36" s="18" t="inlineStr">
        <is>
          <t>Milky Soft Body Lotion for Babies with Oats, Milk &amp; Calendula – 200ml</t>
        </is>
      </c>
      <c r="B36" s="19">
        <f>Unit_Economics!B36</f>
        <v/>
      </c>
      <c r="C36" s="19">
        <f>Unit_Economics!M36</f>
        <v/>
      </c>
      <c r="D36" s="19">
        <f>B36-C36</f>
        <v/>
      </c>
      <c r="E36" s="19">
        <f>IF(D36&gt;0, B1/D36, 0)</f>
        <v/>
      </c>
      <c r="F36" s="19">
        <f>E36*B36</f>
        <v/>
      </c>
    </row>
    <row r="37">
      <c r="A37" s="20" t="inlineStr">
        <is>
          <t>Moisturizing Bathing Bar Soap For Babies, pack of 2*75g</t>
        </is>
      </c>
      <c r="B37" s="21">
        <f>Unit_Economics!B37</f>
        <v/>
      </c>
      <c r="C37" s="21">
        <f>Unit_Economics!M37</f>
        <v/>
      </c>
      <c r="D37" s="21">
        <f>B37-C37</f>
        <v/>
      </c>
      <c r="E37" s="21">
        <f>IF(D37&gt;0, B1/D37, 0)</f>
        <v/>
      </c>
      <c r="F37" s="21">
        <f>E37*B37</f>
        <v/>
      </c>
    </row>
    <row r="38">
      <c r="A38" s="18" t="inlineStr">
        <is>
          <t>Mamaearth Lip Balm</t>
        </is>
      </c>
      <c r="B38" s="19">
        <f>Unit_Economics!B38</f>
        <v/>
      </c>
      <c r="C38" s="19">
        <f>Unit_Economics!M38</f>
        <v/>
      </c>
      <c r="D38" s="19">
        <f>B38-C38</f>
        <v/>
      </c>
      <c r="E38" s="19">
        <f>IF(D38&gt;0, B1/D38, 0)</f>
        <v/>
      </c>
      <c r="F38" s="19">
        <f>E38*B38</f>
        <v/>
      </c>
    </row>
    <row r="39">
      <c r="A39" s="20" t="inlineStr">
        <is>
          <t>Mamaearth Tinted Lip Balm</t>
        </is>
      </c>
      <c r="B39" s="21">
        <f>Unit_Economics!B39</f>
        <v/>
      </c>
      <c r="C39" s="21">
        <f>Unit_Economics!M39</f>
        <v/>
      </c>
      <c r="D39" s="21">
        <f>B39-C39</f>
        <v/>
      </c>
      <c r="E39" s="21">
        <f>IF(D39&gt;0, B1/D39, 0)</f>
        <v/>
      </c>
      <c r="F39" s="21">
        <f>E39*B39</f>
        <v/>
      </c>
    </row>
    <row r="40">
      <c r="A40" s="18" t="inlineStr">
        <is>
          <t>Mamaearth Under Eye Cream</t>
        </is>
      </c>
      <c r="B40" s="19">
        <f>Unit_Economics!B40</f>
        <v/>
      </c>
      <c r="C40" s="19">
        <f>Unit_Economics!M40</f>
        <v/>
      </c>
      <c r="D40" s="19">
        <f>B40-C40</f>
        <v/>
      </c>
      <c r="E40" s="19">
        <f>IF(D40&gt;0, B1/D40, 0)</f>
        <v/>
      </c>
      <c r="F40" s="19">
        <f>E40*B40</f>
        <v/>
      </c>
    </row>
    <row r="41">
      <c r="A41" s="20" t="inlineStr">
        <is>
          <t>Charcoal Black Long Stay Kajal with Vitamin C &amp; Chamomile for 11-Hour Smudge-free Stay</t>
        </is>
      </c>
      <c r="B41" s="21">
        <f>Unit_Economics!B41</f>
        <v/>
      </c>
      <c r="C41" s="21">
        <f>Unit_Economics!M41</f>
        <v/>
      </c>
      <c r="D41" s="21">
        <f>B41-C41</f>
        <v/>
      </c>
      <c r="E41" s="21">
        <f>IF(D41&gt;0, B1/D41, 0)</f>
        <v/>
      </c>
      <c r="F41" s="21">
        <f>E41*B41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15" customWidth="1" min="3" max="3"/>
    <col width="15" customWidth="1" min="4" max="4"/>
  </cols>
  <sheetData>
    <row r="1" ht="30" customHeight="1">
      <c r="A1" s="28" t="inlineStr">
        <is>
          <t>ONDC vs Amazon Unit Economics Dashboard</t>
        </is>
      </c>
    </row>
    <row r="3">
      <c r="A3" s="29" t="inlineStr">
        <is>
          <t>Key Metrics</t>
        </is>
      </c>
    </row>
    <row r="4">
      <c r="A4" s="30" t="inlineStr">
        <is>
          <t>Average Profit per Unit (Amazon)</t>
        </is>
      </c>
      <c r="B4" s="31">
        <f>AVERAGE(Unit_Economics!N2:N39)</f>
        <v/>
      </c>
    </row>
    <row r="5">
      <c r="A5" s="5" t="inlineStr">
        <is>
          <t>Average Profit per Unit (ONDC)</t>
        </is>
      </c>
      <c r="B5" s="32">
        <f>AVERAGE(Unit_Economics!O2:O39)</f>
        <v/>
      </c>
    </row>
    <row r="6">
      <c r="A6" s="30" t="inlineStr">
        <is>
          <t>Average Profit Increase %</t>
        </is>
      </c>
      <c r="B6" s="31">
        <f>AVERAGE(Unit_Economics!P2:P39)</f>
        <v/>
      </c>
    </row>
    <row r="7">
      <c r="A7" s="5" t="inlineStr">
        <is>
          <t>Total Monthly Profit (Amazon)</t>
        </is>
      </c>
      <c r="B7" s="32">
        <f>SUM(Unit_Economics!Q2:Q39)</f>
        <v/>
      </c>
    </row>
    <row r="8">
      <c r="A8" s="30" t="inlineStr">
        <is>
          <t>Total Monthly Profit (ONDC)</t>
        </is>
      </c>
      <c r="B8" s="31">
        <f>SUM(Unit_Economics!R2:R39)</f>
        <v/>
      </c>
    </row>
    <row r="9">
      <c r="A9" s="5" t="inlineStr">
        <is>
          <t>Total Monthly Profit Increase (INR)</t>
        </is>
      </c>
      <c r="B9" s="32">
        <f>B8-B7</f>
        <v/>
      </c>
    </row>
    <row r="10">
      <c r="A10" s="30" t="inlineStr">
        <is>
          <t>Best Performing Product (ONDC)</t>
        </is>
      </c>
      <c r="B10" s="31">
        <f>INDEX(Unit_Economics!A2:A39,MATCH(MAX(Unit_Economics!O2:O39),Unit_Economics!O2:O39,0))</f>
        <v/>
      </c>
    </row>
    <row r="12" ht="80" customHeight="1">
      <c r="A12" s="33" t="inlineStr">
        <is>
          <t>📊 Understanding 'Average Profit Increase %': This metric averages the percentage change for each product individually. A negative value (-2.79%) does NOT indicate a loss. ONDC is MORE profitable overall (₹3.38M more per month). The negative percentage occurs because some low-priced products (≤₹300) favor Amazon (0% commission vs ₹1.50 ONDC fee), which pulls down the average. Focus on 'Total Monthly Profit Increase (INR)' which shows the true advantage: ₹3,376,980 positive.</t>
        </is>
      </c>
      <c r="B12" s="34" t="n"/>
      <c r="C12" s="34" t="n"/>
      <c r="D12" s="35" t="n"/>
    </row>
  </sheetData>
  <mergeCells count="3">
    <mergeCell ref="A1:D1"/>
    <mergeCell ref="A12:D12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2025-11-07T07:05:25Z</dcterms:created>
  <dcterms:modified xmlns:dcterms="http://purl.org/dc/terms/" xmlns:xsi="http://www.w3.org/2001/XMLSchema-instance" xsi:type="dcterms:W3CDTF">2025-11-07T07:05:25Z</dcterms:modified>
</cp:coreProperties>
</file>